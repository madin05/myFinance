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rif\projek coding\myfinance\backend\"/>
    </mc:Choice>
  </mc:AlternateContent>
  <xr:revisionPtr revIDLastSave="0" documentId="8_{CBB00FDC-D943-4E1F-B7A0-E23619CD4B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" l="1"/>
</calcChain>
</file>

<file path=xl/sharedStrings.xml><?xml version="1.0" encoding="utf-8"?>
<sst xmlns="http://schemas.openxmlformats.org/spreadsheetml/2006/main" count="397" uniqueCount="202">
  <si>
    <t>Laporan Keuangan</t>
  </si>
  <si>
    <t>Tanggal</t>
  </si>
  <si>
    <t>Jumlah Pemasukan</t>
  </si>
  <si>
    <t>Kategori</t>
  </si>
  <si>
    <t>Harga</t>
  </si>
  <si>
    <t>Keterangan</t>
  </si>
  <si>
    <t>Metode</t>
  </si>
  <si>
    <t>Transport</t>
  </si>
  <si>
    <t>Cash</t>
  </si>
  <si>
    <t>Beli Bensin Pertalite 2 liter 20k di pertamina</t>
  </si>
  <si>
    <t>Beli Pulsa indosat 20k Total 21k di alfamart</t>
  </si>
  <si>
    <t>Beli Bensin Pertalite 3 liter 30k di pertamina</t>
  </si>
  <si>
    <t>Wednesday, May 14, 2025</t>
  </si>
  <si>
    <t>Thursday, May 15, 2025</t>
  </si>
  <si>
    <t>Tuesday, May 6, 2025</t>
  </si>
  <si>
    <t>Saturday, May 4, 2025</t>
  </si>
  <si>
    <t>Friday, May 9, 2025</t>
  </si>
  <si>
    <t>Bayar Lanyard + kas ISC 30k</t>
  </si>
  <si>
    <t xml:space="preserve">keterangan: </t>
  </si>
  <si>
    <t>biru (pekan ke-1)</t>
  </si>
  <si>
    <t>hijau (pekan ke-2)</t>
  </si>
  <si>
    <t>pink (pekan ke-3)</t>
  </si>
  <si>
    <t>merah (pekan ke-4</t>
  </si>
  <si>
    <t>Friday, May 16, 2025</t>
  </si>
  <si>
    <t>Beli Bensin 1,95 liter 25k di BP</t>
  </si>
  <si>
    <t>Makan</t>
  </si>
  <si>
    <t>Beli Makan siang</t>
  </si>
  <si>
    <t>Bayar lapangan bultang</t>
  </si>
  <si>
    <t>Tuesday, May 20, 2025</t>
  </si>
  <si>
    <t>Friday, May 23, 2025</t>
  </si>
  <si>
    <t>Jajan</t>
  </si>
  <si>
    <t>Beli milo ais 5k</t>
  </si>
  <si>
    <t>Wednesday, May 21, 2025</t>
  </si>
  <si>
    <t>Beli rice bowl 12k</t>
  </si>
  <si>
    <t>makan</t>
  </si>
  <si>
    <t>Beli asi ayam + esteh</t>
  </si>
  <si>
    <t>Monday, May 26, 2025</t>
  </si>
  <si>
    <t>Monday, June 02, 2025</t>
  </si>
  <si>
    <t>jajan</t>
  </si>
  <si>
    <t>cash</t>
  </si>
  <si>
    <t>beli gorengan</t>
  </si>
  <si>
    <t>beli bensin 15k</t>
  </si>
  <si>
    <t>Tuesday, June 10, 2025</t>
  </si>
  <si>
    <t>beli bensi 30k</t>
  </si>
  <si>
    <t>beli bensin 30k</t>
  </si>
  <si>
    <t>Monday, June 16, 2025</t>
  </si>
  <si>
    <t>Thursday, June 12, 2025</t>
  </si>
  <si>
    <t>Monday, June 18 2025</t>
  </si>
  <si>
    <t>Transport + Jajan + makan</t>
  </si>
  <si>
    <t>beli bensi 30k + jajan 4k + makan 20k</t>
  </si>
  <si>
    <t>Monday, June 23 2025</t>
  </si>
  <si>
    <t>bensin 30k</t>
  </si>
  <si>
    <t>Tuesday, June 24 2025</t>
  </si>
  <si>
    <t>beli tripod</t>
  </si>
  <si>
    <t>Wednesday, June 25 2025</t>
  </si>
  <si>
    <t>Thursday, June 26 2025</t>
  </si>
  <si>
    <t>Bensin 20k</t>
  </si>
  <si>
    <t>Juni 2025</t>
  </si>
  <si>
    <t>Thursday, May 01 2025</t>
  </si>
  <si>
    <t>Wednesday, July 16 2025</t>
  </si>
  <si>
    <t>Bensin 30k</t>
  </si>
  <si>
    <t>Ganti oli &amp; tutup oli bawah</t>
  </si>
  <si>
    <t>Juli 2025</t>
  </si>
  <si>
    <t>Mei 2025</t>
  </si>
  <si>
    <t>Agustus 2025</t>
  </si>
  <si>
    <t>Saturday, August 23 2025</t>
  </si>
  <si>
    <t>Beli Flashdisk 64gb</t>
  </si>
  <si>
    <t>Wednesday, August 27 2025</t>
  </si>
  <si>
    <t>Top Up saldo dana</t>
  </si>
  <si>
    <t>September 2025</t>
  </si>
  <si>
    <t>Tuesday, September 09 2025</t>
  </si>
  <si>
    <t>Beli bensi shell 36k</t>
  </si>
  <si>
    <t>Beli lauk warteg</t>
  </si>
  <si>
    <t>Bensin shell 38k</t>
  </si>
  <si>
    <t>Beli nasi bakar 10k</t>
  </si>
  <si>
    <t>Beli bensin 35k</t>
  </si>
  <si>
    <t>Makan + Jajan</t>
  </si>
  <si>
    <t>Makan + jajan</t>
  </si>
  <si>
    <t>Bensin 20K</t>
  </si>
  <si>
    <t>Transport + makan + wash</t>
  </si>
  <si>
    <t>bensin 35k + nasi ayam 15k + cuci motor 15k</t>
  </si>
  <si>
    <t>Trasnport + makan</t>
  </si>
  <si>
    <t>bensi 30k + makan 15k</t>
  </si>
  <si>
    <t>makan + jajan 20k</t>
  </si>
  <si>
    <t>transport</t>
  </si>
  <si>
    <t>bensin 15k</t>
  </si>
  <si>
    <t>Transpport</t>
  </si>
  <si>
    <t>Trasnport + jajan</t>
  </si>
  <si>
    <t>bensin 35k + kopi 5k</t>
  </si>
  <si>
    <t>Oktober 2025</t>
  </si>
  <si>
    <t>bensin 36k</t>
  </si>
  <si>
    <t>jajan 7k</t>
  </si>
  <si>
    <t>bensin 36k + jajan 6k</t>
  </si>
  <si>
    <t>Cash &amp; Ewallet</t>
  </si>
  <si>
    <t>Parkir + jajan + makan</t>
  </si>
  <si>
    <t>makan 29k + jajan 8.5k + parkir 8k</t>
  </si>
  <si>
    <t>transport + jajan</t>
  </si>
  <si>
    <t>Trasnport</t>
  </si>
  <si>
    <t>Transprt</t>
  </si>
  <si>
    <t>bensin 20k + jajan 6k</t>
  </si>
  <si>
    <t>jilid 6k</t>
  </si>
  <si>
    <t>keperluan + transport</t>
  </si>
  <si>
    <t>beli kalkulator 55k + bensin 30k</t>
  </si>
  <si>
    <t>maknan 15k</t>
  </si>
  <si>
    <t>bensin 30k + isi angin 5k + air putih 3k</t>
  </si>
  <si>
    <t>November 2025</t>
  </si>
  <si>
    <t>bayar seminar 100k</t>
  </si>
  <si>
    <t>cash/rekening</t>
  </si>
  <si>
    <t>trasnport + makan + keperluan</t>
  </si>
  <si>
    <t>pulsa 31k + bensin 30k + makan 16k</t>
  </si>
  <si>
    <t>jajan + makan</t>
  </si>
  <si>
    <t>jajan 6k + makan 16k</t>
  </si>
  <si>
    <t>bensin 30k + jajan 6k</t>
  </si>
  <si>
    <t>bensin 27k</t>
  </si>
  <si>
    <t>besin 12k</t>
  </si>
  <si>
    <t>bensin 35k</t>
  </si>
  <si>
    <t xml:space="preserve">transport + konsumsi </t>
  </si>
  <si>
    <t>tiket kereta 6.5k + makan 35k</t>
  </si>
  <si>
    <t>cairan tubless 35k</t>
  </si>
  <si>
    <t>bensin 2k</t>
  </si>
  <si>
    <t>keperluann</t>
  </si>
  <si>
    <t>ppaket data 33k</t>
  </si>
  <si>
    <t>Transport + makan + keperluan</t>
  </si>
  <si>
    <t>bensin 30k + makan 15.5k + colokan laptop 33.8k</t>
  </si>
  <si>
    <t>beisn 30k + ngopi 5k</t>
  </si>
  <si>
    <t>trasnport + shoping</t>
  </si>
  <si>
    <t>bensin 30k + top up dana 91k</t>
  </si>
  <si>
    <t>bensin 15k + top up dana 32k</t>
  </si>
  <si>
    <t>cash/cashless</t>
  </si>
  <si>
    <t>transport + keperluan</t>
  </si>
  <si>
    <t>beisn 10k + gopay 24k</t>
  </si>
  <si>
    <t>DESEMBER 2025</t>
  </si>
  <si>
    <t>cashless</t>
  </si>
  <si>
    <t>isi gopay 40k</t>
  </si>
  <si>
    <t>transport + makan</t>
  </si>
  <si>
    <t>bensin 35k + makan 16k</t>
  </si>
  <si>
    <t>bensin 10k</t>
  </si>
  <si>
    <t>JANUARI 2026</t>
  </si>
  <si>
    <t>keperluan laptop 253.1k</t>
  </si>
  <si>
    <t>Februari 2026</t>
  </si>
  <si>
    <t>bensin 20k</t>
  </si>
  <si>
    <t>bensin 24k</t>
  </si>
  <si>
    <t>besnisn 20k</t>
  </si>
  <si>
    <t>bensi 20k</t>
  </si>
  <si>
    <t>trasnport</t>
  </si>
  <si>
    <t>besnin 35k</t>
  </si>
  <si>
    <t>maret 2026</t>
  </si>
  <si>
    <t>transport+kebutuhan</t>
  </si>
  <si>
    <t>bensin 25k + beli galon 10k</t>
  </si>
  <si>
    <t>bukber</t>
  </si>
  <si>
    <t>bukber 35k</t>
  </si>
  <si>
    <t>besnin 15k</t>
  </si>
  <si>
    <t>mousepad 62k</t>
  </si>
  <si>
    <t>Rp19.950</t>
  </si>
  <si>
    <t>galon 15k</t>
  </si>
  <si>
    <t>gopay</t>
  </si>
  <si>
    <t>dana</t>
  </si>
  <si>
    <t>seabank</t>
  </si>
  <si>
    <t>spay</t>
  </si>
  <si>
    <t>blu</t>
  </si>
  <si>
    <t>total</t>
  </si>
  <si>
    <t>e-wallet</t>
  </si>
  <si>
    <t>top up dana 44.75k</t>
  </si>
  <si>
    <t>beli kaccamata 130k + kertas buku 10k + cukur 15k</t>
  </si>
  <si>
    <t>transport + internet</t>
  </si>
  <si>
    <t>bensin 34k + paket data 35k</t>
  </si>
  <si>
    <t>kemoceng 19.9k</t>
  </si>
  <si>
    <t xml:space="preserve">transport + jajan + parkir + </t>
  </si>
  <si>
    <t>bensin 20k + kopi 14.5k + parkir 3k</t>
  </si>
  <si>
    <t>april 2026</t>
  </si>
  <si>
    <t>kabel + terminal + kapasitor + switch 65k</t>
  </si>
  <si>
    <t xml:space="preserve">cash </t>
  </si>
  <si>
    <t>bensin 35k + makan 15k</t>
  </si>
  <si>
    <t xml:space="preserve">makan + jajan </t>
  </si>
  <si>
    <t>makan 12k + jajan 8k</t>
  </si>
  <si>
    <t>makan + transporr</t>
  </si>
  <si>
    <t>cash + cashlesst</t>
  </si>
  <si>
    <t>bensin 32k + makan 20k</t>
  </si>
  <si>
    <t>bensin 35k + kartu perdanaa 35k</t>
  </si>
  <si>
    <t>beli lem 2</t>
  </si>
  <si>
    <t>trasnport + kuota</t>
  </si>
  <si>
    <t>trasnport + makan</t>
  </si>
  <si>
    <t>makan+jajan</t>
  </si>
  <si>
    <t>makan 15k + jajan 6k</t>
  </si>
  <si>
    <t>bensin 33k</t>
  </si>
  <si>
    <t>makan 22k</t>
  </si>
  <si>
    <t>lain-lain</t>
  </si>
  <si>
    <t>akademik</t>
  </si>
  <si>
    <t>kodnagan 50kl + kopi 25k+ roti 9k</t>
  </si>
  <si>
    <t>makan 15k</t>
  </si>
  <si>
    <t>es 6k</t>
  </si>
  <si>
    <t>jajan 5k</t>
  </si>
  <si>
    <t>bensin 21k</t>
  </si>
  <si>
    <t>makan 20k</t>
  </si>
  <si>
    <t xml:space="preserve"> </t>
  </si>
  <si>
    <t>jago</t>
  </si>
  <si>
    <t>mei 2026</t>
  </si>
  <si>
    <t>parkir 6k</t>
  </si>
  <si>
    <t xml:space="preserve">bensin 32k </t>
  </si>
  <si>
    <t>ganti oli 50k</t>
  </si>
  <si>
    <t>roti 13k</t>
  </si>
  <si>
    <t>bensin 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</si>
</sst>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F800]dddd\,\ mmmm\ dd\,\ yyyy"/>
    <numFmt numFmtId="167" formatCode="_-[$Rp-421]* #,##0.00_-;\-[$Rp-421]* #,##0.00_-;_-[$Rp-421]* &quot;-&quot;??_-;_-@_-"/>
    <numFmt numFmtId="168" formatCode="_-[$Rp-3809]* #,##0.00_-;\-[$Rp-3809]* #,##0.00_-;_-[$Rp-3809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ahnschrift SemiBold"/>
      <family val="2"/>
    </font>
    <font>
      <sz val="10"/>
      <color theme="1"/>
      <name val="Calibri"/>
      <family val="2"/>
      <scheme val="minor"/>
    </font>
    <font>
      <b/>
      <sz val="10"/>
      <color theme="1"/>
      <name val="Bahnschrift SemiBold"/>
      <family val="2"/>
    </font>
    <font>
      <sz val="22"/>
      <color theme="1"/>
      <name val="Bahnschrift SemiBold"/>
      <family val="2"/>
    </font>
    <font>
      <b/>
      <sz val="22"/>
      <color theme="1"/>
      <name val="Bahnschrift SemiBold"/>
      <family val="2"/>
    </font>
    <font>
      <b/>
      <sz val="10"/>
      <name val="Bahnschrift Semi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textRotation="255"/>
    </xf>
    <xf numFmtId="167" fontId="2" fillId="0" borderId="0" xfId="0" applyNumberFormat="1" applyFont="1"/>
    <xf numFmtId="0" fontId="4" fillId="7" borderId="1" xfId="0" applyFont="1" applyFill="1" applyBorder="1" applyAlignment="1">
      <alignment horizontal="center" vertical="center"/>
    </xf>
    <xf numFmtId="44" fontId="2" fillId="0" borderId="0" xfId="0" applyNumberFormat="1" applyFont="1"/>
    <xf numFmtId="44" fontId="4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3" xfId="0" applyBorder="1"/>
    <xf numFmtId="168" fontId="4" fillId="2" borderId="1" xfId="1" applyNumberFormat="1" applyFont="1" applyFill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  <xf numFmtId="168" fontId="4" fillId="5" borderId="1" xfId="1" applyNumberFormat="1" applyFont="1" applyFill="1" applyBorder="1" applyAlignment="1">
      <alignment horizontal="center" vertical="center"/>
    </xf>
    <xf numFmtId="168" fontId="4" fillId="6" borderId="1" xfId="1" applyNumberFormat="1" applyFont="1" applyFill="1" applyBorder="1" applyAlignment="1">
      <alignment horizontal="center" vertical="center"/>
    </xf>
    <xf numFmtId="168" fontId="4" fillId="7" borderId="1" xfId="1" applyNumberFormat="1" applyFont="1" applyFill="1" applyBorder="1" applyAlignment="1">
      <alignment horizontal="center" vertical="center"/>
    </xf>
    <xf numFmtId="168" fontId="4" fillId="6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68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8" fontId="4" fillId="5" borderId="1" xfId="0" applyNumberFormat="1" applyFont="1" applyFill="1" applyBorder="1" applyAlignment="1">
      <alignment vertical="center"/>
    </xf>
    <xf numFmtId="166" fontId="4" fillId="6" borderId="1" xfId="0" applyNumberFormat="1" applyFont="1" applyFill="1" applyBorder="1" applyAlignment="1">
      <alignment horizontal="center" vertical="center"/>
    </xf>
    <xf numFmtId="44" fontId="4" fillId="7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8" fontId="7" fillId="7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165" fontId="0" fillId="0" borderId="0" xfId="0" applyNumberFormat="1"/>
    <xf numFmtId="0" fontId="4" fillId="6" borderId="1" xfId="0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/>
    </xf>
    <xf numFmtId="166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68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44" fontId="4" fillId="6" borderId="1" xfId="0" applyNumberFormat="1" applyFont="1" applyFill="1" applyBorder="1" applyAlignment="1">
      <alignment horizontal="center" vertical="center"/>
    </xf>
    <xf numFmtId="44" fontId="4" fillId="6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44" fontId="4" fillId="7" borderId="1" xfId="0" applyNumberFormat="1" applyFont="1" applyFill="1" applyBorder="1" applyAlignment="1">
      <alignment vertical="center"/>
    </xf>
    <xf numFmtId="167" fontId="4" fillId="5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4" fontId="2" fillId="13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horizontal="center" vertical="center"/>
    </xf>
    <xf numFmtId="167" fontId="2" fillId="16" borderId="1" xfId="0" applyNumberFormat="1" applyFont="1" applyFill="1" applyBorder="1" applyAlignment="1">
      <alignment horizontal="center" vertical="center"/>
    </xf>
    <xf numFmtId="167" fontId="2" fillId="16" borderId="1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4" fontId="4" fillId="13" borderId="1" xfId="0" applyNumberFormat="1" applyFont="1" applyFill="1" applyBorder="1" applyAlignment="1">
      <alignment horizontal="center" vertical="center"/>
    </xf>
    <xf numFmtId="44" fontId="0" fillId="0" borderId="0" xfId="0" applyNumberFormat="1"/>
    <xf numFmtId="49" fontId="5" fillId="0" borderId="1" xfId="0" applyNumberFormat="1" applyFont="1" applyBorder="1"/>
    <xf numFmtId="166" fontId="4" fillId="5" borderId="3" xfId="0" applyNumberFormat="1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49" fontId="5" fillId="7" borderId="6" xfId="0" applyNumberFormat="1" applyFont="1" applyFill="1" applyBorder="1" applyAlignment="1">
      <alignment horizontal="center" vertical="center" textRotation="90"/>
    </xf>
    <xf numFmtId="49" fontId="5" fillId="7" borderId="7" xfId="0" applyNumberFormat="1" applyFont="1" applyFill="1" applyBorder="1" applyAlignment="1">
      <alignment horizontal="center" vertical="center" textRotation="90"/>
    </xf>
    <xf numFmtId="49" fontId="5" fillId="7" borderId="2" xfId="0" applyNumberFormat="1" applyFont="1" applyFill="1" applyBorder="1" applyAlignment="1">
      <alignment horizontal="center" vertical="center" textRotation="90"/>
    </xf>
    <xf numFmtId="49" fontId="5" fillId="7" borderId="8" xfId="0" applyNumberFormat="1" applyFont="1" applyFill="1" applyBorder="1" applyAlignment="1">
      <alignment horizontal="center" vertical="center" textRotation="90"/>
    </xf>
    <xf numFmtId="49" fontId="5" fillId="7" borderId="9" xfId="0" applyNumberFormat="1" applyFont="1" applyFill="1" applyBorder="1" applyAlignment="1">
      <alignment horizontal="center" vertical="center" textRotation="90"/>
    </xf>
    <xf numFmtId="49" fontId="5" fillId="7" borderId="10" xfId="0" applyNumberFormat="1" applyFont="1" applyFill="1" applyBorder="1" applyAlignment="1">
      <alignment horizontal="center" vertical="center" textRotation="90"/>
    </xf>
    <xf numFmtId="44" fontId="4" fillId="7" borderId="4" xfId="0" applyNumberFormat="1" applyFont="1" applyFill="1" applyBorder="1" applyAlignment="1">
      <alignment horizontal="center" vertical="center"/>
    </xf>
    <xf numFmtId="44" fontId="4" fillId="7" borderId="5" xfId="0" applyNumberFormat="1" applyFont="1" applyFill="1" applyBorder="1" applyAlignment="1">
      <alignment horizontal="center" vertical="center"/>
    </xf>
    <xf numFmtId="166" fontId="4" fillId="7" borderId="4" xfId="0" applyNumberFormat="1" applyFont="1" applyFill="1" applyBorder="1" applyAlignment="1">
      <alignment horizontal="center" vertical="center"/>
    </xf>
    <xf numFmtId="166" fontId="4" fillId="7" borderId="5" xfId="0" applyNumberFormat="1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center" vertical="center" textRotation="90"/>
    </xf>
    <xf numFmtId="49" fontId="5" fillId="6" borderId="7" xfId="0" applyNumberFormat="1" applyFont="1" applyFill="1" applyBorder="1" applyAlignment="1">
      <alignment horizontal="center" vertical="center" textRotation="90"/>
    </xf>
    <xf numFmtId="49" fontId="5" fillId="6" borderId="2" xfId="0" applyNumberFormat="1" applyFont="1" applyFill="1" applyBorder="1" applyAlignment="1">
      <alignment horizontal="center" vertical="center" textRotation="90"/>
    </xf>
    <xf numFmtId="49" fontId="5" fillId="6" borderId="8" xfId="0" applyNumberFormat="1" applyFont="1" applyFill="1" applyBorder="1" applyAlignment="1">
      <alignment horizontal="center" vertical="center" textRotation="90"/>
    </xf>
    <xf numFmtId="49" fontId="5" fillId="6" borderId="9" xfId="0" applyNumberFormat="1" applyFont="1" applyFill="1" applyBorder="1" applyAlignment="1">
      <alignment horizontal="center" vertical="center" textRotation="90"/>
    </xf>
    <xf numFmtId="49" fontId="5" fillId="6" borderId="10" xfId="0" applyNumberFormat="1" applyFont="1" applyFill="1" applyBorder="1" applyAlignment="1">
      <alignment horizontal="center" vertical="center" textRotation="90"/>
    </xf>
    <xf numFmtId="44" fontId="4" fillId="13" borderId="4" xfId="0" applyNumberFormat="1" applyFont="1" applyFill="1" applyBorder="1" applyAlignment="1">
      <alignment horizontal="center" vertical="center"/>
    </xf>
    <xf numFmtId="44" fontId="4" fillId="13" borderId="5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44" fontId="4" fillId="13" borderId="1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44" fontId="4" fillId="7" borderId="11" xfId="0" applyNumberFormat="1" applyFont="1" applyFill="1" applyBorder="1" applyAlignment="1">
      <alignment horizontal="center" vertical="center"/>
    </xf>
    <xf numFmtId="44" fontId="4" fillId="5" borderId="4" xfId="0" applyNumberFormat="1" applyFont="1" applyFill="1" applyBorder="1" applyAlignment="1">
      <alignment horizontal="center" vertical="center"/>
    </xf>
    <xf numFmtId="44" fontId="4" fillId="5" borderId="11" xfId="0" applyNumberFormat="1" applyFont="1" applyFill="1" applyBorder="1" applyAlignment="1">
      <alignment horizontal="center" vertical="center"/>
    </xf>
    <xf numFmtId="44" fontId="4" fillId="5" borderId="5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 wrapText="1"/>
    </xf>
    <xf numFmtId="0" fontId="4" fillId="13" borderId="11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textRotation="90"/>
    </xf>
    <xf numFmtId="49" fontId="5" fillId="3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/>
    </xf>
    <xf numFmtId="49" fontId="5" fillId="3" borderId="8" xfId="0" applyNumberFormat="1" applyFont="1" applyFill="1" applyBorder="1" applyAlignment="1">
      <alignment horizontal="center" vertical="center" textRotation="90"/>
    </xf>
    <xf numFmtId="49" fontId="5" fillId="3" borderId="9" xfId="0" applyNumberFormat="1" applyFont="1" applyFill="1" applyBorder="1" applyAlignment="1">
      <alignment horizontal="center" vertical="center" textRotation="90"/>
    </xf>
    <xf numFmtId="49" fontId="5" fillId="3" borderId="10" xfId="0" applyNumberFormat="1" applyFont="1" applyFill="1" applyBorder="1" applyAlignment="1">
      <alignment horizontal="center" vertical="center" textRotation="90"/>
    </xf>
    <xf numFmtId="44" fontId="4" fillId="6" borderId="4" xfId="0" applyNumberFormat="1" applyFont="1" applyFill="1" applyBorder="1" applyAlignment="1">
      <alignment horizontal="center" vertical="center"/>
    </xf>
    <xf numFmtId="44" fontId="4" fillId="6" borderId="5" xfId="0" applyNumberFormat="1" applyFont="1" applyFill="1" applyBorder="1" applyAlignment="1">
      <alignment horizontal="center" vertical="center"/>
    </xf>
    <xf numFmtId="44" fontId="4" fillId="4" borderId="4" xfId="0" applyNumberFormat="1" applyFont="1" applyFill="1" applyBorder="1" applyAlignment="1">
      <alignment horizontal="center" vertical="center"/>
    </xf>
    <xf numFmtId="44" fontId="4" fillId="4" borderId="11" xfId="0" applyNumberFormat="1" applyFont="1" applyFill="1" applyBorder="1" applyAlignment="1">
      <alignment horizontal="center" vertical="center"/>
    </xf>
    <xf numFmtId="44" fontId="4" fillId="4" borderId="5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textRotation="90"/>
    </xf>
    <xf numFmtId="49" fontId="5" fillId="2" borderId="7" xfId="0" applyNumberFormat="1" applyFont="1" applyFill="1" applyBorder="1" applyAlignment="1">
      <alignment horizontal="center" vertical="center" textRotation="90"/>
    </xf>
    <xf numFmtId="49" fontId="5" fillId="2" borderId="2" xfId="0" applyNumberFormat="1" applyFont="1" applyFill="1" applyBorder="1" applyAlignment="1">
      <alignment horizontal="center" vertical="center" textRotation="90"/>
    </xf>
    <xf numFmtId="49" fontId="5" fillId="2" borderId="8" xfId="0" applyNumberFormat="1" applyFont="1" applyFill="1" applyBorder="1" applyAlignment="1">
      <alignment horizontal="center" vertical="center" textRotation="90"/>
    </xf>
    <xf numFmtId="49" fontId="5" fillId="2" borderId="9" xfId="0" applyNumberFormat="1" applyFont="1" applyFill="1" applyBorder="1" applyAlignment="1">
      <alignment horizontal="center" vertical="center" textRotation="90"/>
    </xf>
    <xf numFmtId="49" fontId="5" fillId="2" borderId="10" xfId="0" applyNumberFormat="1" applyFont="1" applyFill="1" applyBorder="1" applyAlignment="1">
      <alignment horizontal="center" vertical="center" textRotation="90"/>
    </xf>
    <xf numFmtId="166" fontId="7" fillId="7" borderId="4" xfId="0" applyNumberFormat="1" applyFont="1" applyFill="1" applyBorder="1" applyAlignment="1">
      <alignment horizontal="center" vertical="center"/>
    </xf>
    <xf numFmtId="166" fontId="7" fillId="7" borderId="5" xfId="0" applyNumberFormat="1" applyFont="1" applyFill="1" applyBorder="1" applyAlignment="1">
      <alignment horizontal="center" vertical="center"/>
    </xf>
    <xf numFmtId="44" fontId="7" fillId="7" borderId="4" xfId="0" applyNumberFormat="1" applyFont="1" applyFill="1" applyBorder="1" applyAlignment="1">
      <alignment horizontal="center" vertical="center"/>
    </xf>
    <xf numFmtId="44" fontId="7" fillId="7" borderId="11" xfId="0" applyNumberFormat="1" applyFont="1" applyFill="1" applyBorder="1" applyAlignment="1">
      <alignment horizontal="center" vertical="center"/>
    </xf>
    <xf numFmtId="44" fontId="7" fillId="7" borderId="5" xfId="0" applyNumberFormat="1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166" fontId="4" fillId="4" borderId="5" xfId="0" applyNumberFormat="1" applyFont="1" applyFill="1" applyBorder="1" applyAlignment="1">
      <alignment horizontal="center" vertical="center"/>
    </xf>
    <xf numFmtId="44" fontId="4" fillId="6" borderId="11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 textRotation="90"/>
    </xf>
    <xf numFmtId="49" fontId="5" fillId="8" borderId="8" xfId="0" applyNumberFormat="1" applyFont="1" applyFill="1" applyBorder="1" applyAlignment="1">
      <alignment horizontal="center" vertical="center" textRotation="90"/>
    </xf>
    <xf numFmtId="49" fontId="5" fillId="8" borderId="9" xfId="0" applyNumberFormat="1" applyFont="1" applyFill="1" applyBorder="1" applyAlignment="1">
      <alignment horizontal="center" vertical="center" textRotation="90"/>
    </xf>
    <xf numFmtId="49" fontId="5" fillId="8" borderId="10" xfId="0" applyNumberFormat="1" applyFont="1" applyFill="1" applyBorder="1" applyAlignment="1">
      <alignment horizontal="center" vertical="center" textRotation="90"/>
    </xf>
    <xf numFmtId="44" fontId="4" fillId="4" borderId="4" xfId="2" applyNumberFormat="1" applyFont="1" applyFill="1" applyBorder="1" applyAlignment="1">
      <alignment horizontal="center" vertical="center"/>
    </xf>
    <xf numFmtId="44" fontId="4" fillId="4" borderId="5" xfId="2" applyNumberFormat="1" applyFont="1" applyFill="1" applyBorder="1" applyAlignment="1">
      <alignment horizontal="center" vertical="center"/>
    </xf>
    <xf numFmtId="49" fontId="5" fillId="9" borderId="6" xfId="0" applyNumberFormat="1" applyFont="1" applyFill="1" applyBorder="1" applyAlignment="1">
      <alignment horizontal="center" vertical="center" textRotation="90"/>
    </xf>
    <xf numFmtId="49" fontId="5" fillId="9" borderId="7" xfId="0" applyNumberFormat="1" applyFont="1" applyFill="1" applyBorder="1" applyAlignment="1">
      <alignment horizontal="center" vertical="center" textRotation="90"/>
    </xf>
    <xf numFmtId="49" fontId="5" fillId="9" borderId="2" xfId="0" applyNumberFormat="1" applyFont="1" applyFill="1" applyBorder="1" applyAlignment="1">
      <alignment horizontal="center" vertical="center" textRotation="90"/>
    </xf>
    <xf numFmtId="49" fontId="5" fillId="9" borderId="8" xfId="0" applyNumberFormat="1" applyFont="1" applyFill="1" applyBorder="1" applyAlignment="1">
      <alignment horizontal="center" vertical="center" textRotation="90"/>
    </xf>
    <xf numFmtId="49" fontId="5" fillId="9" borderId="9" xfId="0" applyNumberFormat="1" applyFont="1" applyFill="1" applyBorder="1" applyAlignment="1">
      <alignment horizontal="center" vertical="center" textRotation="90"/>
    </xf>
    <xf numFmtId="49" fontId="5" fillId="9" borderId="10" xfId="0" applyNumberFormat="1" applyFont="1" applyFill="1" applyBorder="1" applyAlignment="1">
      <alignment horizontal="center" vertical="center" textRotation="90"/>
    </xf>
    <xf numFmtId="44" fontId="4" fillId="5" borderId="4" xfId="2" applyNumberFormat="1" applyFont="1" applyFill="1" applyBorder="1" applyAlignment="1">
      <alignment horizontal="center" vertical="center"/>
    </xf>
    <xf numFmtId="44" fontId="4" fillId="5" borderId="5" xfId="2" applyNumberFormat="1" applyFont="1" applyFill="1" applyBorder="1" applyAlignment="1">
      <alignment horizontal="center" vertical="center"/>
    </xf>
    <xf numFmtId="44" fontId="4" fillId="7" borderId="4" xfId="2" applyNumberFormat="1" applyFont="1" applyFill="1" applyBorder="1" applyAlignment="1">
      <alignment horizontal="center" vertical="center"/>
    </xf>
    <xf numFmtId="44" fontId="4" fillId="7" borderId="5" xfId="2" applyNumberFormat="1" applyFont="1" applyFill="1" applyBorder="1" applyAlignment="1">
      <alignment horizontal="center" vertical="center"/>
    </xf>
    <xf numFmtId="44" fontId="4" fillId="6" borderId="4" xfId="2" applyNumberFormat="1" applyFont="1" applyFill="1" applyBorder="1" applyAlignment="1">
      <alignment horizontal="center" vertical="center"/>
    </xf>
    <xf numFmtId="44" fontId="4" fillId="6" borderId="11" xfId="2" applyNumberFormat="1" applyFont="1" applyFill="1" applyBorder="1" applyAlignment="1">
      <alignment horizontal="center" vertical="center"/>
    </xf>
    <xf numFmtId="44" fontId="4" fillId="6" borderId="5" xfId="2" applyNumberFormat="1" applyFont="1" applyFill="1" applyBorder="1" applyAlignment="1">
      <alignment horizontal="center" vertical="center"/>
    </xf>
    <xf numFmtId="166" fontId="4" fillId="6" borderId="4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66" fontId="4" fillId="6" borderId="5" xfId="0" applyNumberFormat="1" applyFont="1" applyFill="1" applyBorder="1" applyAlignment="1">
      <alignment horizontal="center" vertical="center"/>
    </xf>
    <xf numFmtId="168" fontId="4" fillId="5" borderId="4" xfId="1" applyNumberFormat="1" applyFont="1" applyFill="1" applyBorder="1" applyAlignment="1">
      <alignment horizontal="center" vertical="center"/>
    </xf>
    <xf numFmtId="168" fontId="4" fillId="5" borderId="5" xfId="1" applyNumberFormat="1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49" fontId="5" fillId="14" borderId="6" xfId="0" quotePrefix="1" applyNumberFormat="1" applyFont="1" applyFill="1" applyBorder="1" applyAlignment="1">
      <alignment horizontal="center" vertical="center" textRotation="90" wrapText="1"/>
    </xf>
    <xf numFmtId="49" fontId="5" fillId="14" borderId="7" xfId="0" quotePrefix="1" applyNumberFormat="1" applyFont="1" applyFill="1" applyBorder="1" applyAlignment="1">
      <alignment horizontal="center" vertical="center" textRotation="90" wrapText="1"/>
    </xf>
    <xf numFmtId="49" fontId="5" fillId="14" borderId="2" xfId="0" quotePrefix="1" applyNumberFormat="1" applyFont="1" applyFill="1" applyBorder="1" applyAlignment="1">
      <alignment horizontal="center" vertical="center" textRotation="90" wrapText="1"/>
    </xf>
    <xf numFmtId="49" fontId="5" fillId="14" borderId="8" xfId="0" quotePrefix="1" applyNumberFormat="1" applyFont="1" applyFill="1" applyBorder="1" applyAlignment="1">
      <alignment horizontal="center" vertical="center" textRotation="90" wrapText="1"/>
    </xf>
    <xf numFmtId="49" fontId="5" fillId="14" borderId="9" xfId="0" quotePrefix="1" applyNumberFormat="1" applyFont="1" applyFill="1" applyBorder="1" applyAlignment="1">
      <alignment horizontal="center" vertical="center" textRotation="90" wrapText="1"/>
    </xf>
    <xf numFmtId="49" fontId="5" fillId="14" borderId="10" xfId="0" quotePrefix="1" applyNumberFormat="1" applyFont="1" applyFill="1" applyBorder="1" applyAlignment="1">
      <alignment horizontal="center" vertical="center" textRotation="90" wrapText="1"/>
    </xf>
    <xf numFmtId="0" fontId="4" fillId="6" borderId="4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 textRotation="90"/>
    </xf>
    <xf numFmtId="49" fontId="5" fillId="5" borderId="7" xfId="0" applyNumberFormat="1" applyFont="1" applyFill="1" applyBorder="1" applyAlignment="1">
      <alignment horizontal="center" vertical="center" textRotation="90"/>
    </xf>
    <xf numFmtId="49" fontId="5" fillId="5" borderId="2" xfId="0" applyNumberFormat="1" applyFont="1" applyFill="1" applyBorder="1" applyAlignment="1">
      <alignment horizontal="center" vertical="center" textRotation="90"/>
    </xf>
    <xf numFmtId="49" fontId="5" fillId="5" borderId="8" xfId="0" applyNumberFormat="1" applyFont="1" applyFill="1" applyBorder="1" applyAlignment="1">
      <alignment horizontal="center" vertical="center" textRotation="90"/>
    </xf>
    <xf numFmtId="49" fontId="5" fillId="5" borderId="9" xfId="0" applyNumberFormat="1" applyFont="1" applyFill="1" applyBorder="1" applyAlignment="1">
      <alignment horizontal="center" vertical="center" textRotation="90"/>
    </xf>
    <xf numFmtId="49" fontId="5" fillId="5" borderId="10" xfId="0" applyNumberFormat="1" applyFont="1" applyFill="1" applyBorder="1" applyAlignment="1">
      <alignment horizontal="center" vertical="center" textRotation="90"/>
    </xf>
    <xf numFmtId="166" fontId="4" fillId="13" borderId="4" xfId="0" applyNumberFormat="1" applyFont="1" applyFill="1" applyBorder="1" applyAlignment="1">
      <alignment horizontal="center" vertical="center"/>
    </xf>
    <xf numFmtId="166" fontId="4" fillId="13" borderId="5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5" fillId="10" borderId="6" xfId="0" applyNumberFormat="1" applyFont="1" applyFill="1" applyBorder="1" applyAlignment="1">
      <alignment horizontal="center" vertical="center" textRotation="90"/>
    </xf>
    <xf numFmtId="49" fontId="5" fillId="10" borderId="7" xfId="0" applyNumberFormat="1" applyFont="1" applyFill="1" applyBorder="1" applyAlignment="1">
      <alignment horizontal="center" vertical="center" textRotation="90"/>
    </xf>
    <xf numFmtId="49" fontId="5" fillId="10" borderId="2" xfId="0" applyNumberFormat="1" applyFont="1" applyFill="1" applyBorder="1" applyAlignment="1">
      <alignment horizontal="center" vertical="center" textRotation="90"/>
    </xf>
    <xf numFmtId="49" fontId="5" fillId="10" borderId="8" xfId="0" applyNumberFormat="1" applyFont="1" applyFill="1" applyBorder="1" applyAlignment="1">
      <alignment horizontal="center" vertical="center" textRotation="90"/>
    </xf>
    <xf numFmtId="49" fontId="5" fillId="10" borderId="9" xfId="0" applyNumberFormat="1" applyFont="1" applyFill="1" applyBorder="1" applyAlignment="1">
      <alignment horizontal="center" vertical="center" textRotation="90"/>
    </xf>
    <xf numFmtId="49" fontId="5" fillId="10" borderId="10" xfId="0" applyNumberFormat="1" applyFont="1" applyFill="1" applyBorder="1" applyAlignment="1">
      <alignment horizontal="center" vertical="center" textRotation="90"/>
    </xf>
    <xf numFmtId="49" fontId="5" fillId="14" borderId="6" xfId="0" applyNumberFormat="1" applyFont="1" applyFill="1" applyBorder="1" applyAlignment="1">
      <alignment horizontal="center" vertical="center" textRotation="90"/>
    </xf>
    <xf numFmtId="49" fontId="5" fillId="14" borderId="7" xfId="0" applyNumberFormat="1" applyFont="1" applyFill="1" applyBorder="1" applyAlignment="1">
      <alignment horizontal="center" vertical="center" textRotation="90"/>
    </xf>
    <xf numFmtId="49" fontId="5" fillId="14" borderId="2" xfId="0" applyNumberFormat="1" applyFont="1" applyFill="1" applyBorder="1" applyAlignment="1">
      <alignment horizontal="center" vertical="center" textRotation="90"/>
    </xf>
    <xf numFmtId="49" fontId="5" fillId="14" borderId="8" xfId="0" applyNumberFormat="1" applyFont="1" applyFill="1" applyBorder="1" applyAlignment="1">
      <alignment horizontal="center" vertical="center" textRotation="90"/>
    </xf>
    <xf numFmtId="49" fontId="5" fillId="14" borderId="9" xfId="0" applyNumberFormat="1" applyFont="1" applyFill="1" applyBorder="1" applyAlignment="1">
      <alignment horizontal="center" vertical="center" textRotation="90"/>
    </xf>
    <xf numFmtId="49" fontId="5" fillId="14" borderId="10" xfId="0" applyNumberFormat="1" applyFont="1" applyFill="1" applyBorder="1" applyAlignment="1">
      <alignment horizontal="center" vertical="center" textRotation="90"/>
    </xf>
    <xf numFmtId="49" fontId="5" fillId="11" borderId="6" xfId="0" applyNumberFormat="1" applyFont="1" applyFill="1" applyBorder="1" applyAlignment="1">
      <alignment horizontal="center" vertical="center" textRotation="90"/>
    </xf>
    <xf numFmtId="49" fontId="5" fillId="11" borderId="7" xfId="0" applyNumberFormat="1" applyFont="1" applyFill="1" applyBorder="1" applyAlignment="1">
      <alignment horizontal="center" vertical="center" textRotation="90"/>
    </xf>
    <xf numFmtId="49" fontId="5" fillId="11" borderId="9" xfId="0" applyNumberFormat="1" applyFont="1" applyFill="1" applyBorder="1" applyAlignment="1">
      <alignment horizontal="center" vertical="center" textRotation="90"/>
    </xf>
    <xf numFmtId="49" fontId="5" fillId="11" borderId="10" xfId="0" applyNumberFormat="1" applyFont="1" applyFill="1" applyBorder="1" applyAlignment="1">
      <alignment horizontal="center" vertical="center" textRotation="90"/>
    </xf>
    <xf numFmtId="49" fontId="5" fillId="12" borderId="6" xfId="0" applyNumberFormat="1" applyFont="1" applyFill="1" applyBorder="1" applyAlignment="1">
      <alignment horizontal="center" vertical="center" textRotation="90"/>
    </xf>
    <xf numFmtId="49" fontId="5" fillId="12" borderId="7" xfId="0" applyNumberFormat="1" applyFont="1" applyFill="1" applyBorder="1" applyAlignment="1">
      <alignment horizontal="center" vertical="center" textRotation="90"/>
    </xf>
    <xf numFmtId="49" fontId="5" fillId="12" borderId="2" xfId="0" applyNumberFormat="1" applyFont="1" applyFill="1" applyBorder="1" applyAlignment="1">
      <alignment horizontal="center" vertical="center" textRotation="90"/>
    </xf>
    <xf numFmtId="49" fontId="5" fillId="12" borderId="8" xfId="0" applyNumberFormat="1" applyFont="1" applyFill="1" applyBorder="1" applyAlignment="1">
      <alignment horizontal="center" vertical="center" textRotation="90"/>
    </xf>
    <xf numFmtId="49" fontId="5" fillId="12" borderId="9" xfId="0" applyNumberFormat="1" applyFont="1" applyFill="1" applyBorder="1" applyAlignment="1">
      <alignment horizontal="center" vertical="center" textRotation="90"/>
    </xf>
    <xf numFmtId="49" fontId="5" fillId="12" borderId="10" xfId="0" applyNumberFormat="1" applyFont="1" applyFill="1" applyBorder="1" applyAlignment="1">
      <alignment horizontal="center" vertical="center" textRotation="9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33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27"/>
  <sheetViews>
    <sheetView tabSelected="1" zoomScale="70" zoomScaleNormal="70" workbookViewId="0">
      <selection activeCell="M6" sqref="M6"/>
    </sheetView>
  </sheetViews>
  <sheetFormatPr defaultColWidth="9.109375" defaultRowHeight="30" customHeight="1" x14ac:dyDescent="0.45"/>
  <cols>
    <col min="1" max="1" width="14" customWidth="1"/>
    <col min="2" max="2" width="9.109375" customWidth="1"/>
    <col min="3" max="3" width="9" customWidth="1"/>
    <col min="4" max="4" width="9.109375" style="70" customWidth="1"/>
    <col min="5" max="5" width="11.21875" style="70" customWidth="1"/>
    <col min="6" max="6" width="30.5546875" style="51" customWidth="1"/>
    <col min="7" max="7" width="19.44140625" style="52" customWidth="1"/>
    <col min="8" max="8" width="34.5546875" style="53" customWidth="1"/>
    <col min="9" max="9" width="9.109375" style="54"/>
    <col min="10" max="10" width="14.88671875" style="55" customWidth="1"/>
    <col min="11" max="11" width="45" style="53" customWidth="1"/>
    <col min="13" max="13" width="17.44140625" bestFit="1" customWidth="1"/>
    <col min="14" max="14" width="15.5546875" style="61" bestFit="1" customWidth="1"/>
    <col min="15" max="15" width="14.5546875" bestFit="1" customWidth="1"/>
    <col min="16" max="16" width="13.5546875" bestFit="1" customWidth="1"/>
  </cols>
  <sheetData>
    <row r="1" spans="1:22" ht="30" customHeight="1" x14ac:dyDescent="0.45">
      <c r="D1" s="73"/>
      <c r="E1" s="73"/>
      <c r="F1" s="141" t="s">
        <v>0</v>
      </c>
      <c r="G1" s="142"/>
      <c r="H1" s="142"/>
      <c r="I1" s="142"/>
      <c r="J1" s="142"/>
      <c r="K1" s="142"/>
    </row>
    <row r="2" spans="1:22" ht="30" customHeight="1" x14ac:dyDescent="0.45">
      <c r="A2" s="9"/>
      <c r="D2" s="73"/>
      <c r="E2" s="73"/>
      <c r="F2" s="141"/>
      <c r="G2" s="142"/>
      <c r="H2" s="142"/>
      <c r="I2" s="142"/>
      <c r="J2" s="142"/>
      <c r="K2" s="142"/>
      <c r="L2" s="1"/>
      <c r="M2" s="1"/>
      <c r="N2" s="62"/>
      <c r="O2" s="1"/>
      <c r="P2" s="1"/>
      <c r="Q2" s="1"/>
      <c r="R2" s="1"/>
      <c r="S2" s="1"/>
      <c r="T2" s="1"/>
      <c r="U2" s="1"/>
      <c r="V2" s="2"/>
    </row>
    <row r="3" spans="1:22" ht="30" customHeight="1" x14ac:dyDescent="0.45">
      <c r="A3" s="9"/>
      <c r="D3" s="73"/>
      <c r="E3" s="73"/>
      <c r="F3" s="4" t="s">
        <v>1</v>
      </c>
      <c r="G3" s="12" t="s">
        <v>2</v>
      </c>
      <c r="H3" s="3" t="s">
        <v>3</v>
      </c>
      <c r="I3" s="45" t="s">
        <v>6</v>
      </c>
      <c r="J3" s="16" t="s">
        <v>4</v>
      </c>
      <c r="K3" s="3" t="s">
        <v>5</v>
      </c>
      <c r="M3" s="3" t="s">
        <v>18</v>
      </c>
      <c r="N3" s="62"/>
      <c r="O3" s="1"/>
      <c r="P3" s="1"/>
      <c r="Q3" s="1"/>
      <c r="R3" s="1"/>
      <c r="S3" s="1"/>
      <c r="T3" s="1"/>
      <c r="U3" s="1"/>
      <c r="V3" s="2"/>
    </row>
    <row r="4" spans="1:22" ht="30" customHeight="1" x14ac:dyDescent="0.3">
      <c r="A4" s="9"/>
      <c r="B4" s="1"/>
      <c r="C4" s="1"/>
      <c r="D4" s="143" t="s">
        <v>63</v>
      </c>
      <c r="E4" s="144"/>
      <c r="F4" s="138" t="s">
        <v>58</v>
      </c>
      <c r="G4" s="147">
        <v>50000</v>
      </c>
      <c r="H4" s="5" t="s">
        <v>84</v>
      </c>
      <c r="I4" s="46" t="s">
        <v>8</v>
      </c>
      <c r="J4" s="17">
        <v>20000</v>
      </c>
      <c r="K4" s="5" t="s">
        <v>9</v>
      </c>
      <c r="L4" s="1"/>
      <c r="M4" s="74" t="s">
        <v>19</v>
      </c>
      <c r="N4" s="62"/>
      <c r="O4" s="1"/>
      <c r="P4" s="1"/>
      <c r="Q4" s="1"/>
      <c r="R4" s="1"/>
      <c r="S4" s="1"/>
      <c r="T4" s="1"/>
      <c r="U4" s="1"/>
      <c r="V4" s="2"/>
    </row>
    <row r="5" spans="1:22" ht="30" customHeight="1" x14ac:dyDescent="0.3">
      <c r="A5" s="1"/>
      <c r="B5" s="1"/>
      <c r="C5" s="1"/>
      <c r="D5" s="143"/>
      <c r="E5" s="144"/>
      <c r="F5" s="139"/>
      <c r="G5" s="148"/>
      <c r="H5" s="5" t="s">
        <v>186</v>
      </c>
      <c r="I5" s="46" t="s">
        <v>8</v>
      </c>
      <c r="J5" s="17">
        <v>21000</v>
      </c>
      <c r="K5" s="5" t="s">
        <v>10</v>
      </c>
      <c r="L5" s="1"/>
      <c r="M5" s="66" t="s">
        <v>20</v>
      </c>
      <c r="N5" s="62"/>
      <c r="O5" s="1"/>
      <c r="P5" s="1"/>
      <c r="Q5" s="1"/>
      <c r="R5" s="1"/>
      <c r="S5" s="1"/>
      <c r="T5" s="1"/>
      <c r="U5" s="1"/>
      <c r="V5" s="2"/>
    </row>
    <row r="6" spans="1:22" ht="30" customHeight="1" x14ac:dyDescent="0.3">
      <c r="A6" s="1"/>
      <c r="B6" s="1"/>
      <c r="C6" s="8"/>
      <c r="D6" s="143"/>
      <c r="E6" s="144"/>
      <c r="F6" s="34" t="s">
        <v>15</v>
      </c>
      <c r="G6" s="147">
        <v>100000</v>
      </c>
      <c r="H6" s="5" t="s">
        <v>7</v>
      </c>
      <c r="I6" s="46" t="s">
        <v>8</v>
      </c>
      <c r="J6" s="17">
        <v>30000</v>
      </c>
      <c r="K6" s="5" t="s">
        <v>11</v>
      </c>
      <c r="L6" s="1"/>
      <c r="M6" s="75" t="s">
        <v>21</v>
      </c>
      <c r="N6" s="62"/>
      <c r="O6" s="1"/>
      <c r="P6" s="1"/>
      <c r="Q6" s="1"/>
      <c r="R6" s="1"/>
      <c r="S6" s="1"/>
      <c r="T6" s="1"/>
      <c r="U6" s="1"/>
      <c r="V6" s="2"/>
    </row>
    <row r="7" spans="1:22" ht="30" customHeight="1" x14ac:dyDescent="0.3">
      <c r="A7" s="1"/>
      <c r="B7" s="1"/>
      <c r="C7" s="1"/>
      <c r="D7" s="143"/>
      <c r="E7" s="144"/>
      <c r="F7" s="34" t="s">
        <v>14</v>
      </c>
      <c r="G7" s="148"/>
      <c r="H7" s="5" t="s">
        <v>7</v>
      </c>
      <c r="I7" s="46" t="s">
        <v>8</v>
      </c>
      <c r="J7" s="17">
        <v>30000</v>
      </c>
      <c r="K7" s="5" t="s">
        <v>11</v>
      </c>
      <c r="L7" s="1"/>
      <c r="M7" s="67" t="s">
        <v>22</v>
      </c>
      <c r="N7" s="62"/>
      <c r="O7" s="1"/>
      <c r="P7" s="1"/>
      <c r="Q7" s="1"/>
      <c r="R7" s="1"/>
      <c r="S7" s="1"/>
      <c r="T7" s="1"/>
      <c r="U7" s="1"/>
      <c r="V7" s="2"/>
    </row>
    <row r="8" spans="1:22" ht="30" customHeight="1" x14ac:dyDescent="0.3">
      <c r="A8" s="1"/>
      <c r="B8" s="1"/>
      <c r="C8" s="1"/>
      <c r="D8" s="143"/>
      <c r="E8" s="144"/>
      <c r="F8" s="26" t="s">
        <v>16</v>
      </c>
      <c r="G8" s="155">
        <v>100000</v>
      </c>
      <c r="H8" s="6" t="s">
        <v>7</v>
      </c>
      <c r="I8" s="47" t="s">
        <v>8</v>
      </c>
      <c r="J8" s="18">
        <v>15000</v>
      </c>
      <c r="K8" s="6" t="s">
        <v>11</v>
      </c>
      <c r="L8" s="1"/>
      <c r="O8" s="1"/>
      <c r="P8" s="1"/>
      <c r="Q8" s="1"/>
      <c r="R8" s="1"/>
      <c r="S8" s="1"/>
      <c r="T8" s="1"/>
      <c r="U8" s="1"/>
      <c r="V8" s="2"/>
    </row>
    <row r="9" spans="1:22" ht="30" customHeight="1" x14ac:dyDescent="0.3">
      <c r="A9" s="1"/>
      <c r="B9" s="1"/>
      <c r="C9" s="1"/>
      <c r="D9" s="143"/>
      <c r="E9" s="144"/>
      <c r="F9" s="26" t="s">
        <v>12</v>
      </c>
      <c r="G9" s="156"/>
      <c r="H9" s="6" t="s">
        <v>7</v>
      </c>
      <c r="I9" s="47" t="s">
        <v>8</v>
      </c>
      <c r="J9" s="18">
        <v>30000</v>
      </c>
      <c r="K9" s="6" t="s">
        <v>11</v>
      </c>
      <c r="L9" s="1"/>
      <c r="M9" s="76" t="s">
        <v>195</v>
      </c>
      <c r="N9" s="64">
        <v>0</v>
      </c>
      <c r="O9" s="1"/>
      <c r="P9" s="1"/>
      <c r="Q9" s="1"/>
      <c r="R9" s="1"/>
      <c r="S9" s="1"/>
      <c r="T9" s="2"/>
    </row>
    <row r="10" spans="1:22" ht="30" customHeight="1" x14ac:dyDescent="0.3">
      <c r="A10" s="1"/>
      <c r="B10" s="1"/>
      <c r="C10" s="1"/>
      <c r="D10" s="143"/>
      <c r="E10" s="144"/>
      <c r="F10" s="28" t="s">
        <v>13</v>
      </c>
      <c r="G10" s="159">
        <v>100000</v>
      </c>
      <c r="H10" s="7" t="s">
        <v>187</v>
      </c>
      <c r="I10" s="37" t="s">
        <v>8</v>
      </c>
      <c r="J10" s="19">
        <v>30000</v>
      </c>
      <c r="K10" s="7" t="s">
        <v>17</v>
      </c>
      <c r="L10" s="1"/>
      <c r="M10" s="58" t="s">
        <v>155</v>
      </c>
      <c r="N10" s="64">
        <v>26522</v>
      </c>
      <c r="O10" s="1"/>
      <c r="P10" s="9"/>
      <c r="Q10" s="1"/>
      <c r="R10" s="1"/>
      <c r="S10" s="1"/>
      <c r="T10" s="1"/>
      <c r="U10" s="1"/>
      <c r="V10" s="2"/>
    </row>
    <row r="11" spans="1:22" ht="30" customHeight="1" x14ac:dyDescent="0.3">
      <c r="A11" s="1"/>
      <c r="B11" s="1"/>
      <c r="C11" s="1"/>
      <c r="D11" s="143"/>
      <c r="E11" s="144"/>
      <c r="F11" s="162" t="s">
        <v>23</v>
      </c>
      <c r="G11" s="160"/>
      <c r="H11" s="7" t="s">
        <v>7</v>
      </c>
      <c r="I11" s="37" t="s">
        <v>8</v>
      </c>
      <c r="J11" s="19">
        <v>25000</v>
      </c>
      <c r="K11" s="7" t="s">
        <v>24</v>
      </c>
      <c r="L11" s="1"/>
      <c r="M11" s="59" t="s">
        <v>156</v>
      </c>
      <c r="N11" s="64">
        <v>11000</v>
      </c>
      <c r="O11" s="1"/>
      <c r="P11" s="1"/>
      <c r="Q11" s="1"/>
      <c r="R11" s="1"/>
      <c r="S11" s="1"/>
      <c r="T11" s="1"/>
      <c r="U11" s="1"/>
      <c r="V11" s="2"/>
    </row>
    <row r="12" spans="1:22" ht="30" customHeight="1" x14ac:dyDescent="0.3">
      <c r="A12" s="1"/>
      <c r="B12" s="1"/>
      <c r="C12" s="1"/>
      <c r="D12" s="143"/>
      <c r="E12" s="144"/>
      <c r="F12" s="163"/>
      <c r="G12" s="160"/>
      <c r="H12" s="7" t="s">
        <v>25</v>
      </c>
      <c r="I12" s="37" t="s">
        <v>8</v>
      </c>
      <c r="J12" s="19">
        <v>15000</v>
      </c>
      <c r="K12" s="7" t="s">
        <v>26</v>
      </c>
      <c r="L12" s="1"/>
      <c r="M12" s="60" t="s">
        <v>157</v>
      </c>
      <c r="N12" s="64">
        <v>809</v>
      </c>
      <c r="O12" s="1"/>
      <c r="P12" s="1"/>
      <c r="Q12" s="1"/>
      <c r="R12" s="1"/>
      <c r="S12" s="1"/>
      <c r="T12" s="1"/>
      <c r="U12" s="1"/>
      <c r="V12" s="2"/>
    </row>
    <row r="13" spans="1:22" ht="30" customHeight="1" x14ac:dyDescent="0.3">
      <c r="A13" s="1"/>
      <c r="B13" s="1"/>
      <c r="C13" s="1"/>
      <c r="D13" s="143"/>
      <c r="E13" s="144"/>
      <c r="F13" s="164"/>
      <c r="G13" s="160"/>
      <c r="H13" s="7" t="s">
        <v>186</v>
      </c>
      <c r="I13" s="37" t="s">
        <v>8</v>
      </c>
      <c r="J13" s="19">
        <v>22000</v>
      </c>
      <c r="K13" s="7" t="s">
        <v>27</v>
      </c>
      <c r="L13" s="1"/>
      <c r="M13" s="60" t="s">
        <v>158</v>
      </c>
      <c r="N13" s="64">
        <v>2554</v>
      </c>
      <c r="O13" s="1"/>
      <c r="P13" s="1"/>
      <c r="Q13" s="1"/>
      <c r="R13" s="1"/>
      <c r="S13" s="1"/>
      <c r="T13" s="1"/>
      <c r="U13" s="1"/>
      <c r="V13" s="2"/>
    </row>
    <row r="14" spans="1:22" ht="30" customHeight="1" x14ac:dyDescent="0.3">
      <c r="A14" s="1"/>
      <c r="B14" s="1"/>
      <c r="C14" s="1"/>
      <c r="D14" s="143"/>
      <c r="E14" s="144"/>
      <c r="F14" s="28" t="s">
        <v>28</v>
      </c>
      <c r="G14" s="160"/>
      <c r="H14" s="7" t="s">
        <v>7</v>
      </c>
      <c r="I14" s="37" t="s">
        <v>8</v>
      </c>
      <c r="J14" s="19">
        <v>30000</v>
      </c>
      <c r="K14" s="7" t="s">
        <v>11</v>
      </c>
      <c r="L14" s="1"/>
      <c r="M14" s="58" t="s">
        <v>159</v>
      </c>
      <c r="N14" s="64">
        <v>123927.82</v>
      </c>
      <c r="O14" s="1"/>
      <c r="P14" s="9"/>
      <c r="Q14" s="1"/>
      <c r="R14" s="1"/>
      <c r="S14" s="1"/>
      <c r="T14" s="1"/>
      <c r="U14" s="1"/>
      <c r="V14" s="2"/>
    </row>
    <row r="15" spans="1:22" ht="30" customHeight="1" x14ac:dyDescent="0.3">
      <c r="A15" s="1"/>
      <c r="B15" s="1"/>
      <c r="C15" s="1"/>
      <c r="D15" s="143"/>
      <c r="E15" s="144"/>
      <c r="F15" s="28" t="s">
        <v>32</v>
      </c>
      <c r="G15" s="161"/>
      <c r="H15" s="7" t="s">
        <v>25</v>
      </c>
      <c r="I15" s="37" t="s">
        <v>8</v>
      </c>
      <c r="J15" s="19">
        <v>12000</v>
      </c>
      <c r="K15" s="7" t="s">
        <v>33</v>
      </c>
      <c r="L15" s="1"/>
      <c r="M15" s="66" t="s">
        <v>39</v>
      </c>
      <c r="N15" s="65">
        <v>407000</v>
      </c>
      <c r="O15" s="1"/>
      <c r="P15" s="1" t="s">
        <v>194</v>
      </c>
      <c r="Q15" s="1"/>
      <c r="R15" s="1"/>
      <c r="S15" s="1"/>
      <c r="T15" s="1"/>
      <c r="U15" s="1"/>
      <c r="V15" s="2"/>
    </row>
    <row r="16" spans="1:22" ht="30" customHeight="1" x14ac:dyDescent="0.3">
      <c r="A16" s="1"/>
      <c r="B16" s="1"/>
      <c r="C16" s="1"/>
      <c r="D16" s="143"/>
      <c r="E16" s="144"/>
      <c r="F16" s="38" t="s">
        <v>29</v>
      </c>
      <c r="G16" s="157">
        <v>100000</v>
      </c>
      <c r="H16" s="10" t="s">
        <v>30</v>
      </c>
      <c r="I16" s="24" t="s">
        <v>8</v>
      </c>
      <c r="J16" s="20">
        <v>5000</v>
      </c>
      <c r="K16" s="10" t="s">
        <v>31</v>
      </c>
      <c r="L16" s="1"/>
      <c r="M16" s="67" t="s">
        <v>160</v>
      </c>
      <c r="N16" s="65">
        <f>SUM(N9:N10,N9,N10:N15)</f>
        <v>598334.82000000007</v>
      </c>
      <c r="O16" s="1"/>
      <c r="P16" s="1"/>
      <c r="Q16" s="1"/>
      <c r="R16" s="1"/>
      <c r="S16" s="1"/>
      <c r="T16" s="1"/>
      <c r="U16" s="1"/>
      <c r="V16" s="2"/>
    </row>
    <row r="17" spans="1:22" ht="30" customHeight="1" x14ac:dyDescent="0.3">
      <c r="A17" s="1"/>
      <c r="B17" s="1"/>
      <c r="C17" s="1"/>
      <c r="D17" s="145"/>
      <c r="E17" s="146"/>
      <c r="F17" s="38" t="s">
        <v>36</v>
      </c>
      <c r="G17" s="158"/>
      <c r="H17" s="10" t="s">
        <v>34</v>
      </c>
      <c r="I17" s="24" t="s">
        <v>8</v>
      </c>
      <c r="J17" s="20">
        <v>15000</v>
      </c>
      <c r="K17" s="10" t="s">
        <v>35</v>
      </c>
      <c r="L17" s="1"/>
      <c r="M17" s="1"/>
      <c r="N17" s="62"/>
      <c r="O17" s="1"/>
      <c r="P17" s="1"/>
      <c r="Q17" s="1"/>
      <c r="R17" s="1"/>
      <c r="S17" s="1"/>
      <c r="T17" s="1"/>
      <c r="U17" s="1"/>
      <c r="V17" s="2"/>
    </row>
    <row r="18" spans="1:22" ht="30" customHeight="1" x14ac:dyDescent="0.3">
      <c r="A18" s="1"/>
      <c r="B18" s="1"/>
      <c r="C18" s="1"/>
      <c r="D18" s="149" t="s">
        <v>57</v>
      </c>
      <c r="E18" s="150"/>
      <c r="F18" s="138" t="s">
        <v>37</v>
      </c>
      <c r="G18" s="147">
        <v>100000</v>
      </c>
      <c r="H18" s="5" t="s">
        <v>38</v>
      </c>
      <c r="I18" s="46" t="s">
        <v>39</v>
      </c>
      <c r="J18" s="17">
        <v>5000</v>
      </c>
      <c r="K18" s="5" t="s">
        <v>40</v>
      </c>
      <c r="L18" s="1"/>
      <c r="M18" s="1"/>
      <c r="N18" s="62"/>
      <c r="O18" s="1"/>
      <c r="P18" s="1"/>
      <c r="Q18" s="1"/>
      <c r="R18" s="1"/>
      <c r="S18" s="1"/>
      <c r="T18" s="1"/>
      <c r="U18" s="1"/>
      <c r="V18" s="2"/>
    </row>
    <row r="19" spans="1:22" ht="30" customHeight="1" x14ac:dyDescent="0.3">
      <c r="A19" s="1"/>
      <c r="B19" s="1"/>
      <c r="C19" s="1"/>
      <c r="D19" s="151"/>
      <c r="E19" s="152"/>
      <c r="F19" s="139"/>
      <c r="G19" s="148"/>
      <c r="H19" s="5" t="s">
        <v>7</v>
      </c>
      <c r="I19" s="46" t="s">
        <v>39</v>
      </c>
      <c r="J19" s="17">
        <v>15000</v>
      </c>
      <c r="K19" s="5" t="s">
        <v>41</v>
      </c>
      <c r="L19" s="1"/>
      <c r="M19" s="1"/>
      <c r="N19" s="62"/>
      <c r="O19" s="1"/>
      <c r="P19" s="1"/>
      <c r="Q19" s="1"/>
      <c r="R19" s="1"/>
      <c r="S19" s="1"/>
      <c r="T19" s="1"/>
      <c r="U19" s="1"/>
      <c r="V19" s="2"/>
    </row>
    <row r="20" spans="1:22" ht="30" customHeight="1" x14ac:dyDescent="0.3">
      <c r="A20" s="1"/>
      <c r="B20" s="1"/>
      <c r="C20" s="1"/>
      <c r="D20" s="151"/>
      <c r="E20" s="152"/>
      <c r="F20" s="26" t="s">
        <v>42</v>
      </c>
      <c r="G20" s="155">
        <v>150000</v>
      </c>
      <c r="H20" s="108" t="s">
        <v>7</v>
      </c>
      <c r="I20" s="47" t="s">
        <v>39</v>
      </c>
      <c r="J20" s="165">
        <v>30000</v>
      </c>
      <c r="K20" s="108" t="s">
        <v>43</v>
      </c>
      <c r="L20" s="1"/>
      <c r="M20" s="1"/>
      <c r="N20" s="62"/>
      <c r="O20" s="1"/>
      <c r="P20" s="1"/>
      <c r="Q20" s="1"/>
      <c r="R20" s="1"/>
      <c r="S20" s="1"/>
      <c r="T20" s="1"/>
      <c r="U20" s="1"/>
      <c r="V20" s="2"/>
    </row>
    <row r="21" spans="1:22" ht="30" customHeight="1" x14ac:dyDescent="0.3">
      <c r="A21" s="1"/>
      <c r="B21" s="1"/>
      <c r="C21" s="1"/>
      <c r="D21" s="151"/>
      <c r="E21" s="152"/>
      <c r="F21" s="26" t="s">
        <v>46</v>
      </c>
      <c r="G21" s="156"/>
      <c r="H21" s="109"/>
      <c r="I21" s="47" t="s">
        <v>39</v>
      </c>
      <c r="J21" s="166"/>
      <c r="K21" s="109"/>
      <c r="L21" s="1"/>
      <c r="M21" s="1"/>
      <c r="N21" s="62"/>
      <c r="O21" s="1"/>
      <c r="P21" s="1"/>
      <c r="Q21" s="1"/>
      <c r="R21" s="1"/>
      <c r="S21" s="1"/>
      <c r="T21" s="1"/>
      <c r="U21" s="1"/>
      <c r="V21" s="2"/>
    </row>
    <row r="22" spans="1:22" ht="30" customHeight="1" x14ac:dyDescent="0.3">
      <c r="A22" s="1"/>
      <c r="B22" s="1"/>
      <c r="C22" s="1"/>
      <c r="D22" s="151"/>
      <c r="E22" s="152"/>
      <c r="F22" s="28" t="s">
        <v>45</v>
      </c>
      <c r="G22" s="159">
        <v>150000</v>
      </c>
      <c r="H22" s="7" t="s">
        <v>7</v>
      </c>
      <c r="I22" s="37" t="s">
        <v>39</v>
      </c>
      <c r="J22" s="19">
        <v>30000</v>
      </c>
      <c r="K22" s="7" t="s">
        <v>44</v>
      </c>
      <c r="L22" s="1"/>
      <c r="M22" s="1"/>
      <c r="N22" s="62"/>
      <c r="O22" s="1"/>
      <c r="P22" s="1"/>
      <c r="Q22" s="1"/>
      <c r="R22" s="1"/>
      <c r="S22" s="1"/>
      <c r="T22" s="1"/>
      <c r="U22" s="1"/>
      <c r="V22" s="2"/>
    </row>
    <row r="23" spans="1:22" ht="30" customHeight="1" x14ac:dyDescent="0.3">
      <c r="A23" s="11"/>
      <c r="B23" s="1"/>
      <c r="C23" s="1"/>
      <c r="D23" s="151"/>
      <c r="E23" s="152"/>
      <c r="F23" s="28" t="s">
        <v>47</v>
      </c>
      <c r="G23" s="161"/>
      <c r="H23" s="7" t="s">
        <v>48</v>
      </c>
      <c r="I23" s="37" t="s">
        <v>8</v>
      </c>
      <c r="J23" s="21">
        <v>54000</v>
      </c>
      <c r="K23" s="7" t="s">
        <v>49</v>
      </c>
      <c r="L23" s="1"/>
      <c r="M23" s="1"/>
      <c r="N23" s="62"/>
      <c r="O23" s="1"/>
      <c r="P23" s="1"/>
      <c r="Q23" s="1"/>
      <c r="R23" s="1"/>
      <c r="S23" s="1"/>
      <c r="T23" s="1"/>
      <c r="U23" s="1"/>
      <c r="V23" s="2"/>
    </row>
    <row r="24" spans="1:22" ht="30" customHeight="1" x14ac:dyDescent="0.3">
      <c r="A24" s="11"/>
      <c r="B24" s="1"/>
      <c r="C24" s="1"/>
      <c r="D24" s="151"/>
      <c r="E24" s="152"/>
      <c r="F24" s="38" t="s">
        <v>50</v>
      </c>
      <c r="G24" s="83">
        <v>120000</v>
      </c>
      <c r="H24" s="10" t="s">
        <v>7</v>
      </c>
      <c r="I24" s="24" t="s">
        <v>8</v>
      </c>
      <c r="J24" s="22">
        <v>30000</v>
      </c>
      <c r="K24" s="10" t="s">
        <v>51</v>
      </c>
      <c r="L24" s="1"/>
      <c r="M24" s="1"/>
      <c r="N24" s="62"/>
      <c r="O24" s="1"/>
      <c r="P24" s="1"/>
      <c r="Q24" s="1"/>
      <c r="R24" s="1"/>
      <c r="S24" s="1"/>
      <c r="T24" s="1"/>
      <c r="U24" s="1"/>
      <c r="V24" s="2"/>
    </row>
    <row r="25" spans="1:22" ht="30" customHeight="1" x14ac:dyDescent="0.3">
      <c r="A25" s="1"/>
      <c r="B25" s="1"/>
      <c r="C25" s="1"/>
      <c r="D25" s="151"/>
      <c r="E25" s="152"/>
      <c r="F25" s="38" t="s">
        <v>52</v>
      </c>
      <c r="G25" s="99"/>
      <c r="H25" s="10" t="s">
        <v>186</v>
      </c>
      <c r="I25" s="24" t="s">
        <v>8</v>
      </c>
      <c r="J25" s="22">
        <v>45000</v>
      </c>
      <c r="K25" s="10" t="s">
        <v>53</v>
      </c>
      <c r="L25" s="1"/>
      <c r="M25" s="1"/>
      <c r="N25" s="62"/>
      <c r="O25" s="1"/>
      <c r="P25" s="1"/>
      <c r="Q25" s="1"/>
      <c r="R25" s="1"/>
      <c r="S25" s="1"/>
      <c r="T25" s="1"/>
      <c r="U25" s="1"/>
      <c r="V25" s="2"/>
    </row>
    <row r="26" spans="1:22" ht="30" customHeight="1" x14ac:dyDescent="0.3">
      <c r="A26" s="1"/>
      <c r="B26" s="1"/>
      <c r="C26" s="1"/>
      <c r="D26" s="151"/>
      <c r="E26" s="152"/>
      <c r="F26" s="38" t="s">
        <v>54</v>
      </c>
      <c r="G26" s="99"/>
      <c r="H26" s="10" t="s">
        <v>38</v>
      </c>
      <c r="I26" s="24" t="s">
        <v>8</v>
      </c>
      <c r="J26" s="22">
        <v>6000</v>
      </c>
      <c r="K26" s="10" t="s">
        <v>38</v>
      </c>
      <c r="L26" s="1"/>
      <c r="M26" s="1"/>
      <c r="N26" s="62"/>
      <c r="O26" s="1"/>
      <c r="P26" s="1"/>
      <c r="Q26" s="1"/>
      <c r="R26" s="1"/>
      <c r="S26" s="1"/>
      <c r="T26" s="1"/>
      <c r="U26" s="1"/>
      <c r="V26" s="2"/>
    </row>
    <row r="27" spans="1:22" ht="30" customHeight="1" x14ac:dyDescent="0.3">
      <c r="D27" s="153"/>
      <c r="E27" s="154"/>
      <c r="F27" s="38" t="s">
        <v>55</v>
      </c>
      <c r="G27" s="84"/>
      <c r="H27" s="10" t="s">
        <v>84</v>
      </c>
      <c r="I27" s="24" t="s">
        <v>8</v>
      </c>
      <c r="J27" s="22">
        <v>20000</v>
      </c>
      <c r="K27" s="10" t="s">
        <v>56</v>
      </c>
    </row>
    <row r="28" spans="1:22" ht="30" customHeight="1" x14ac:dyDescent="0.3">
      <c r="D28" s="202" t="s">
        <v>62</v>
      </c>
      <c r="E28" s="203"/>
      <c r="F28" s="138" t="s">
        <v>59</v>
      </c>
      <c r="G28" s="121">
        <v>115000</v>
      </c>
      <c r="H28" s="188" t="s">
        <v>7</v>
      </c>
      <c r="I28" s="186" t="s">
        <v>8</v>
      </c>
      <c r="J28" s="23">
        <v>30000</v>
      </c>
      <c r="K28" s="5" t="s">
        <v>60</v>
      </c>
    </row>
    <row r="29" spans="1:22" ht="67.8" customHeight="1" x14ac:dyDescent="0.3">
      <c r="D29" s="204"/>
      <c r="E29" s="205"/>
      <c r="F29" s="139"/>
      <c r="G29" s="123"/>
      <c r="H29" s="189"/>
      <c r="I29" s="187"/>
      <c r="J29" s="23">
        <v>85000</v>
      </c>
      <c r="K29" s="5" t="s">
        <v>61</v>
      </c>
    </row>
    <row r="30" spans="1:22" s="13" customFormat="1" ht="62.4" customHeight="1" x14ac:dyDescent="0.3">
      <c r="D30" s="113" t="s">
        <v>64</v>
      </c>
      <c r="E30" s="114"/>
      <c r="F30" s="38" t="s">
        <v>65</v>
      </c>
      <c r="G30" s="83">
        <v>621000</v>
      </c>
      <c r="H30" s="10" t="s">
        <v>186</v>
      </c>
      <c r="I30" s="24" t="s">
        <v>8</v>
      </c>
      <c r="J30" s="22">
        <v>80000</v>
      </c>
      <c r="K30" s="10" t="s">
        <v>66</v>
      </c>
      <c r="N30" s="63"/>
    </row>
    <row r="31" spans="1:22" s="13" customFormat="1" ht="62.4" customHeight="1" x14ac:dyDescent="0.3">
      <c r="D31" s="115"/>
      <c r="E31" s="116"/>
      <c r="F31" s="85" t="s">
        <v>67</v>
      </c>
      <c r="G31" s="84"/>
      <c r="H31" s="10" t="s">
        <v>186</v>
      </c>
      <c r="I31" s="24" t="s">
        <v>8</v>
      </c>
      <c r="J31" s="22">
        <v>219500</v>
      </c>
      <c r="K31" s="10" t="s">
        <v>68</v>
      </c>
      <c r="N31" s="63"/>
    </row>
    <row r="32" spans="1:22" s="13" customFormat="1" ht="62.4" customHeight="1" x14ac:dyDescent="0.3">
      <c r="D32" s="117"/>
      <c r="E32" s="118"/>
      <c r="F32" s="86"/>
      <c r="G32" s="49">
        <v>220000</v>
      </c>
      <c r="H32" s="10" t="s">
        <v>186</v>
      </c>
      <c r="I32" s="24" t="s">
        <v>132</v>
      </c>
      <c r="J32" s="22">
        <v>219750</v>
      </c>
      <c r="K32" s="10" t="s">
        <v>30</v>
      </c>
      <c r="N32" s="63"/>
    </row>
    <row r="33" spans="1:23" ht="30" customHeight="1" x14ac:dyDescent="0.3">
      <c r="D33" s="206" t="s">
        <v>69</v>
      </c>
      <c r="E33" s="207"/>
      <c r="F33" s="167" t="s">
        <v>70</v>
      </c>
      <c r="G33" s="100">
        <v>150000</v>
      </c>
      <c r="H33" s="6" t="s">
        <v>7</v>
      </c>
      <c r="I33" s="47" t="s">
        <v>8</v>
      </c>
      <c r="J33" s="25">
        <v>36000</v>
      </c>
      <c r="K33" s="6" t="s">
        <v>71</v>
      </c>
    </row>
    <row r="34" spans="1:23" ht="30" customHeight="1" x14ac:dyDescent="0.3">
      <c r="D34" s="208"/>
      <c r="E34" s="209"/>
      <c r="F34" s="168"/>
      <c r="G34" s="101"/>
      <c r="H34" s="6" t="s">
        <v>25</v>
      </c>
      <c r="I34" s="47" t="s">
        <v>8</v>
      </c>
      <c r="J34" s="25">
        <v>7000</v>
      </c>
      <c r="K34" s="6" t="s">
        <v>72</v>
      </c>
    </row>
    <row r="35" spans="1:23" ht="30" customHeight="1" x14ac:dyDescent="0.3">
      <c r="D35" s="208"/>
      <c r="E35" s="209"/>
      <c r="F35" s="26">
        <v>45910</v>
      </c>
      <c r="G35" s="101"/>
      <c r="H35" s="6" t="s">
        <v>38</v>
      </c>
      <c r="I35" s="47" t="s">
        <v>8</v>
      </c>
      <c r="J35" s="25">
        <v>8000</v>
      </c>
      <c r="K35" s="6" t="s">
        <v>38</v>
      </c>
    </row>
    <row r="36" spans="1:23" s="14" customFormat="1" ht="30.6" customHeight="1" x14ac:dyDescent="0.3">
      <c r="A36" s="15"/>
      <c r="B36"/>
      <c r="C36"/>
      <c r="D36" s="208"/>
      <c r="E36" s="209"/>
      <c r="F36" s="26">
        <v>45911</v>
      </c>
      <c r="G36" s="101"/>
      <c r="H36" s="26" t="s">
        <v>7</v>
      </c>
      <c r="I36" s="47" t="s">
        <v>8</v>
      </c>
      <c r="J36" s="27">
        <v>38000</v>
      </c>
      <c r="K36" s="71" t="s">
        <v>73</v>
      </c>
      <c r="L36"/>
      <c r="M36"/>
      <c r="N36" s="61"/>
      <c r="O36"/>
      <c r="P36"/>
      <c r="Q36"/>
      <c r="R36"/>
      <c r="S36"/>
      <c r="T36"/>
      <c r="U36"/>
      <c r="V36"/>
      <c r="W36"/>
    </row>
    <row r="37" spans="1:23" ht="79.2" customHeight="1" x14ac:dyDescent="0.3">
      <c r="D37" s="208"/>
      <c r="E37" s="209"/>
      <c r="F37" s="26">
        <v>45912</v>
      </c>
      <c r="G37" s="102"/>
      <c r="H37" s="6" t="s">
        <v>25</v>
      </c>
      <c r="I37" s="47" t="s">
        <v>8</v>
      </c>
      <c r="J37" s="25">
        <v>10000</v>
      </c>
      <c r="K37" s="6" t="s">
        <v>74</v>
      </c>
    </row>
    <row r="38" spans="1:23" ht="30" customHeight="1" x14ac:dyDescent="0.3">
      <c r="D38" s="208"/>
      <c r="E38" s="209"/>
      <c r="F38" s="28">
        <v>45915</v>
      </c>
      <c r="G38" s="119">
        <v>120000</v>
      </c>
      <c r="H38" s="7" t="s">
        <v>7</v>
      </c>
      <c r="I38" s="37" t="s">
        <v>8</v>
      </c>
      <c r="J38" s="21">
        <v>35000</v>
      </c>
      <c r="K38" s="7" t="s">
        <v>75</v>
      </c>
    </row>
    <row r="39" spans="1:23" ht="30" customHeight="1" x14ac:dyDescent="0.3">
      <c r="D39" s="208"/>
      <c r="E39" s="209"/>
      <c r="F39" s="28">
        <v>45916</v>
      </c>
      <c r="G39" s="140"/>
      <c r="H39" s="7" t="s">
        <v>76</v>
      </c>
      <c r="I39" s="37" t="s">
        <v>8</v>
      </c>
      <c r="J39" s="21">
        <v>26000</v>
      </c>
      <c r="K39" s="7" t="s">
        <v>77</v>
      </c>
    </row>
    <row r="40" spans="1:23" ht="30" customHeight="1" x14ac:dyDescent="0.3">
      <c r="D40" s="208"/>
      <c r="E40" s="209"/>
      <c r="F40" s="28">
        <v>45919</v>
      </c>
      <c r="G40" s="120"/>
      <c r="H40" s="7" t="s">
        <v>7</v>
      </c>
      <c r="I40" s="37" t="s">
        <v>8</v>
      </c>
      <c r="J40" s="21">
        <v>20000</v>
      </c>
      <c r="K40" s="7" t="s">
        <v>78</v>
      </c>
    </row>
    <row r="41" spans="1:23" ht="30" customHeight="1" x14ac:dyDescent="0.3">
      <c r="D41" s="208"/>
      <c r="E41" s="209"/>
      <c r="F41" s="30">
        <v>45923</v>
      </c>
      <c r="G41" s="135">
        <v>120000</v>
      </c>
      <c r="H41" s="31" t="s">
        <v>79</v>
      </c>
      <c r="I41" s="48" t="s">
        <v>8</v>
      </c>
      <c r="J41" s="33">
        <v>65000</v>
      </c>
      <c r="K41" s="32" t="s">
        <v>80</v>
      </c>
    </row>
    <row r="42" spans="1:23" ht="30" customHeight="1" x14ac:dyDescent="0.3">
      <c r="D42" s="208"/>
      <c r="E42" s="209"/>
      <c r="F42" s="30">
        <v>45924</v>
      </c>
      <c r="G42" s="136"/>
      <c r="H42" s="32" t="s">
        <v>81</v>
      </c>
      <c r="I42" s="48" t="s">
        <v>8</v>
      </c>
      <c r="J42" s="33">
        <v>45000</v>
      </c>
      <c r="K42" s="32" t="s">
        <v>82</v>
      </c>
    </row>
    <row r="43" spans="1:23" ht="30" customHeight="1" x14ac:dyDescent="0.3">
      <c r="D43" s="208"/>
      <c r="E43" s="209"/>
      <c r="F43" s="133">
        <v>45926</v>
      </c>
      <c r="G43" s="137"/>
      <c r="H43" s="32" t="s">
        <v>34</v>
      </c>
      <c r="I43" s="48" t="s">
        <v>8</v>
      </c>
      <c r="J43" s="33">
        <v>20000</v>
      </c>
      <c r="K43" s="32" t="s">
        <v>83</v>
      </c>
    </row>
    <row r="44" spans="1:23" ht="30" customHeight="1" x14ac:dyDescent="0.3">
      <c r="D44" s="210"/>
      <c r="E44" s="211"/>
      <c r="F44" s="134"/>
      <c r="G44" s="29">
        <v>15000</v>
      </c>
      <c r="H44" s="10" t="s">
        <v>84</v>
      </c>
      <c r="I44" s="24" t="s">
        <v>8</v>
      </c>
      <c r="J44" s="22">
        <v>15000</v>
      </c>
      <c r="K44" s="10" t="s">
        <v>85</v>
      </c>
    </row>
    <row r="45" spans="1:23" ht="30" customHeight="1" x14ac:dyDescent="0.3">
      <c r="D45" s="178" t="s">
        <v>89</v>
      </c>
      <c r="E45" s="179"/>
      <c r="F45" s="34">
        <v>45930</v>
      </c>
      <c r="G45" s="121">
        <v>100000</v>
      </c>
      <c r="H45" s="5" t="s">
        <v>86</v>
      </c>
      <c r="I45" s="46" t="s">
        <v>8</v>
      </c>
      <c r="J45" s="23">
        <v>30000</v>
      </c>
      <c r="K45" s="5" t="s">
        <v>51</v>
      </c>
    </row>
    <row r="46" spans="1:23" ht="30" customHeight="1" x14ac:dyDescent="0.3">
      <c r="D46" s="180"/>
      <c r="E46" s="181"/>
      <c r="F46" s="34">
        <v>45932</v>
      </c>
      <c r="G46" s="122"/>
      <c r="H46" s="5" t="s">
        <v>87</v>
      </c>
      <c r="I46" s="46" t="s">
        <v>8</v>
      </c>
      <c r="J46" s="23">
        <v>40000</v>
      </c>
      <c r="K46" s="5" t="s">
        <v>88</v>
      </c>
    </row>
    <row r="47" spans="1:23" ht="87" customHeight="1" x14ac:dyDescent="0.3">
      <c r="D47" s="180"/>
      <c r="E47" s="181"/>
      <c r="F47" s="34">
        <v>45933</v>
      </c>
      <c r="G47" s="123"/>
      <c r="H47" s="5" t="s">
        <v>25</v>
      </c>
      <c r="I47" s="46" t="s">
        <v>39</v>
      </c>
      <c r="J47" s="23">
        <v>25000</v>
      </c>
      <c r="K47" s="5" t="s">
        <v>25</v>
      </c>
    </row>
    <row r="48" spans="1:23" ht="30" customHeight="1" x14ac:dyDescent="0.3">
      <c r="D48" s="180"/>
      <c r="E48" s="181"/>
      <c r="F48" s="26">
        <v>45936</v>
      </c>
      <c r="G48" s="100">
        <v>100000</v>
      </c>
      <c r="H48" s="108" t="s">
        <v>7</v>
      </c>
      <c r="I48" s="124" t="s">
        <v>8</v>
      </c>
      <c r="J48" s="25">
        <v>36000</v>
      </c>
      <c r="K48" s="6" t="s">
        <v>90</v>
      </c>
    </row>
    <row r="49" spans="2:16" ht="30" customHeight="1" x14ac:dyDescent="0.3">
      <c r="D49" s="180"/>
      <c r="E49" s="181"/>
      <c r="F49" s="26">
        <v>45938</v>
      </c>
      <c r="G49" s="101"/>
      <c r="H49" s="109"/>
      <c r="I49" s="125"/>
      <c r="J49" s="25">
        <v>30000</v>
      </c>
      <c r="K49" s="6" t="s">
        <v>51</v>
      </c>
    </row>
    <row r="50" spans="2:16" ht="30" customHeight="1" x14ac:dyDescent="0.3">
      <c r="D50" s="180"/>
      <c r="E50" s="181"/>
      <c r="F50" s="26">
        <v>45940</v>
      </c>
      <c r="G50" s="102"/>
      <c r="H50" s="6" t="s">
        <v>30</v>
      </c>
      <c r="I50" s="126"/>
      <c r="J50" s="25">
        <v>7000</v>
      </c>
      <c r="K50" s="6" t="s">
        <v>91</v>
      </c>
    </row>
    <row r="51" spans="2:16" ht="30" customHeight="1" x14ac:dyDescent="0.3">
      <c r="B51" s="35"/>
      <c r="D51" s="180"/>
      <c r="E51" s="181"/>
      <c r="F51" s="28">
        <v>45944</v>
      </c>
      <c r="G51" s="119">
        <v>125000</v>
      </c>
      <c r="H51" s="7" t="s">
        <v>96</v>
      </c>
      <c r="I51" s="37" t="s">
        <v>39</v>
      </c>
      <c r="J51" s="21">
        <v>42000</v>
      </c>
      <c r="K51" s="7" t="s">
        <v>92</v>
      </c>
    </row>
    <row r="52" spans="2:16" ht="30" customHeight="1" x14ac:dyDescent="0.3">
      <c r="B52" s="36"/>
      <c r="D52" s="180"/>
      <c r="E52" s="181"/>
      <c r="F52" s="28">
        <v>45948</v>
      </c>
      <c r="G52" s="120"/>
      <c r="H52" s="7" t="s">
        <v>94</v>
      </c>
      <c r="I52" s="37" t="s">
        <v>93</v>
      </c>
      <c r="J52" s="21">
        <v>45000</v>
      </c>
      <c r="K52" s="7" t="s">
        <v>95</v>
      </c>
    </row>
    <row r="53" spans="2:16" ht="30" customHeight="1" x14ac:dyDescent="0.3">
      <c r="D53" s="180"/>
      <c r="E53" s="181"/>
      <c r="F53" s="38">
        <v>45950</v>
      </c>
      <c r="G53" s="83">
        <v>100000</v>
      </c>
      <c r="H53" s="10" t="s">
        <v>97</v>
      </c>
      <c r="I53" s="110" t="s">
        <v>39</v>
      </c>
      <c r="J53" s="22">
        <v>30000</v>
      </c>
      <c r="K53" s="10" t="s">
        <v>51</v>
      </c>
    </row>
    <row r="54" spans="2:16" ht="30" customHeight="1" x14ac:dyDescent="0.3">
      <c r="D54" s="180"/>
      <c r="E54" s="181"/>
      <c r="F54" s="38">
        <v>45952</v>
      </c>
      <c r="G54" s="99"/>
      <c r="H54" s="10" t="s">
        <v>98</v>
      </c>
      <c r="I54" s="111"/>
      <c r="J54" s="22">
        <v>30000</v>
      </c>
      <c r="K54" s="10" t="s">
        <v>51</v>
      </c>
    </row>
    <row r="55" spans="2:16" ht="30" customHeight="1" x14ac:dyDescent="0.3">
      <c r="D55" s="180"/>
      <c r="E55" s="181"/>
      <c r="F55" s="38">
        <v>45953</v>
      </c>
      <c r="G55" s="99"/>
      <c r="H55" s="10" t="s">
        <v>187</v>
      </c>
      <c r="I55" s="111"/>
      <c r="J55" s="22">
        <v>6000</v>
      </c>
      <c r="K55" s="10" t="s">
        <v>100</v>
      </c>
    </row>
    <row r="56" spans="2:16" ht="30" customHeight="1" x14ac:dyDescent="0.3">
      <c r="D56" s="180"/>
      <c r="E56" s="181"/>
      <c r="F56" s="38">
        <v>45954</v>
      </c>
      <c r="G56" s="84"/>
      <c r="H56" s="10" t="s">
        <v>87</v>
      </c>
      <c r="I56" s="112"/>
      <c r="J56" s="22">
        <v>26000</v>
      </c>
      <c r="K56" s="10" t="s">
        <v>99</v>
      </c>
    </row>
    <row r="57" spans="2:16" ht="30" customHeight="1" x14ac:dyDescent="0.3">
      <c r="D57" s="180"/>
      <c r="E57" s="181"/>
      <c r="F57" s="38">
        <v>45958</v>
      </c>
      <c r="G57" s="83">
        <v>100000</v>
      </c>
      <c r="H57" s="10" t="s">
        <v>101</v>
      </c>
      <c r="I57" s="24" t="s">
        <v>8</v>
      </c>
      <c r="J57" s="22">
        <v>85000</v>
      </c>
      <c r="K57" s="10" t="s">
        <v>102</v>
      </c>
    </row>
    <row r="58" spans="2:16" ht="30" customHeight="1" x14ac:dyDescent="0.3">
      <c r="D58" s="180"/>
      <c r="E58" s="181"/>
      <c r="F58" s="38">
        <v>45959</v>
      </c>
      <c r="G58" s="99"/>
      <c r="H58" s="10" t="s">
        <v>34</v>
      </c>
      <c r="I58" s="24" t="s">
        <v>39</v>
      </c>
      <c r="J58" s="22">
        <v>15000</v>
      </c>
      <c r="K58" s="10" t="s">
        <v>103</v>
      </c>
    </row>
    <row r="59" spans="2:16" ht="30" customHeight="1" x14ac:dyDescent="0.3">
      <c r="D59" s="182"/>
      <c r="E59" s="183"/>
      <c r="F59" s="38">
        <v>45960</v>
      </c>
      <c r="G59" s="84"/>
      <c r="H59" s="10" t="s">
        <v>187</v>
      </c>
      <c r="I59" s="24" t="s">
        <v>39</v>
      </c>
      <c r="J59" s="22">
        <v>100000</v>
      </c>
      <c r="K59" s="10" t="s">
        <v>106</v>
      </c>
    </row>
    <row r="60" spans="2:16" ht="30" customHeight="1" x14ac:dyDescent="0.3">
      <c r="D60" s="127" t="s">
        <v>105</v>
      </c>
      <c r="E60" s="128"/>
      <c r="F60" s="39">
        <v>45965</v>
      </c>
      <c r="G60" s="93">
        <v>300000</v>
      </c>
      <c r="H60" s="40" t="s">
        <v>96</v>
      </c>
      <c r="I60" s="42" t="s">
        <v>39</v>
      </c>
      <c r="J60" s="41">
        <v>30000</v>
      </c>
      <c r="K60" s="40" t="s">
        <v>104</v>
      </c>
      <c r="P60" s="35"/>
    </row>
    <row r="61" spans="2:16" ht="30" customHeight="1" x14ac:dyDescent="0.3">
      <c r="D61" s="129"/>
      <c r="E61" s="130"/>
      <c r="F61" s="39">
        <v>45968</v>
      </c>
      <c r="G61" s="94"/>
      <c r="H61" s="40" t="s">
        <v>108</v>
      </c>
      <c r="I61" s="42" t="s">
        <v>107</v>
      </c>
      <c r="J61" s="41">
        <v>77000</v>
      </c>
      <c r="K61" s="40" t="s">
        <v>109</v>
      </c>
    </row>
    <row r="62" spans="2:16" ht="30" customHeight="1" x14ac:dyDescent="0.3">
      <c r="D62" s="129"/>
      <c r="E62" s="130"/>
      <c r="F62" s="26">
        <v>45972</v>
      </c>
      <c r="G62" s="100">
        <v>100000</v>
      </c>
      <c r="H62" s="6" t="s">
        <v>84</v>
      </c>
      <c r="I62" s="47" t="s">
        <v>39</v>
      </c>
      <c r="J62" s="25">
        <v>30000</v>
      </c>
      <c r="K62" s="6" t="s">
        <v>51</v>
      </c>
      <c r="P62" s="35"/>
    </row>
    <row r="63" spans="2:16" ht="30" customHeight="1" x14ac:dyDescent="0.3">
      <c r="D63" s="129"/>
      <c r="E63" s="130"/>
      <c r="F63" s="26">
        <v>45973</v>
      </c>
      <c r="G63" s="101"/>
      <c r="H63" s="6" t="s">
        <v>110</v>
      </c>
      <c r="I63" s="47" t="s">
        <v>39</v>
      </c>
      <c r="J63" s="25">
        <v>22000</v>
      </c>
      <c r="K63" s="6" t="s">
        <v>111</v>
      </c>
      <c r="M63" s="35"/>
    </row>
    <row r="64" spans="2:16" ht="30" customHeight="1" x14ac:dyDescent="0.3">
      <c r="D64" s="129"/>
      <c r="E64" s="130"/>
      <c r="F64" s="26">
        <v>45975</v>
      </c>
      <c r="G64" s="102"/>
      <c r="H64" s="6" t="s">
        <v>96</v>
      </c>
      <c r="I64" s="47" t="s">
        <v>39</v>
      </c>
      <c r="J64" s="25">
        <v>36000</v>
      </c>
      <c r="K64" s="6" t="s">
        <v>112</v>
      </c>
      <c r="M64" s="35"/>
    </row>
    <row r="65" spans="4:15" ht="30" customHeight="1" x14ac:dyDescent="0.3">
      <c r="D65" s="129"/>
      <c r="E65" s="130"/>
      <c r="F65" s="28">
        <v>45979</v>
      </c>
      <c r="G65" s="43">
        <v>100000</v>
      </c>
      <c r="H65" s="7" t="s">
        <v>84</v>
      </c>
      <c r="I65" s="37" t="s">
        <v>39</v>
      </c>
      <c r="J65" s="21">
        <v>30000</v>
      </c>
      <c r="K65" s="7" t="s">
        <v>51</v>
      </c>
    </row>
    <row r="66" spans="4:15" ht="30" customHeight="1" x14ac:dyDescent="0.3">
      <c r="D66" s="129"/>
      <c r="E66" s="130"/>
      <c r="F66" s="38">
        <v>45986</v>
      </c>
      <c r="G66" s="83">
        <v>100000</v>
      </c>
      <c r="H66" s="110" t="s">
        <v>84</v>
      </c>
      <c r="I66" s="110" t="s">
        <v>39</v>
      </c>
      <c r="J66" s="22">
        <v>27000</v>
      </c>
      <c r="K66" s="10" t="s">
        <v>113</v>
      </c>
      <c r="M66" s="36"/>
    </row>
    <row r="67" spans="4:15" ht="30" customHeight="1" x14ac:dyDescent="0.3">
      <c r="D67" s="129"/>
      <c r="E67" s="130"/>
      <c r="F67" s="38">
        <v>45987</v>
      </c>
      <c r="G67" s="99"/>
      <c r="H67" s="111"/>
      <c r="I67" s="111"/>
      <c r="J67" s="22">
        <v>30000</v>
      </c>
      <c r="K67" s="10" t="s">
        <v>51</v>
      </c>
      <c r="M67" s="36"/>
    </row>
    <row r="68" spans="4:15" ht="30" customHeight="1" x14ac:dyDescent="0.3">
      <c r="D68" s="131"/>
      <c r="E68" s="132"/>
      <c r="F68" s="38">
        <v>45989</v>
      </c>
      <c r="G68" s="84"/>
      <c r="H68" s="112"/>
      <c r="I68" s="112"/>
      <c r="J68" s="22">
        <v>12000</v>
      </c>
      <c r="K68" s="10" t="s">
        <v>114</v>
      </c>
    </row>
    <row r="69" spans="4:15" ht="30" customHeight="1" x14ac:dyDescent="0.3">
      <c r="D69" s="77" t="s">
        <v>131</v>
      </c>
      <c r="E69" s="78"/>
      <c r="F69" s="39">
        <v>45992</v>
      </c>
      <c r="G69" s="93">
        <v>100000</v>
      </c>
      <c r="H69" s="40" t="s">
        <v>84</v>
      </c>
      <c r="I69" s="103" t="s">
        <v>39</v>
      </c>
      <c r="J69" s="41">
        <v>35000</v>
      </c>
      <c r="K69" s="40" t="s">
        <v>115</v>
      </c>
    </row>
    <row r="70" spans="4:15" ht="30" customHeight="1" x14ac:dyDescent="0.3">
      <c r="D70" s="79"/>
      <c r="E70" s="80"/>
      <c r="F70" s="39">
        <v>45994</v>
      </c>
      <c r="G70" s="97"/>
      <c r="H70" s="40" t="s">
        <v>116</v>
      </c>
      <c r="I70" s="104"/>
      <c r="J70" s="41">
        <v>46000</v>
      </c>
      <c r="K70" s="40" t="s">
        <v>117</v>
      </c>
      <c r="M70" s="35"/>
    </row>
    <row r="71" spans="4:15" ht="30" customHeight="1" x14ac:dyDescent="0.3">
      <c r="D71" s="79"/>
      <c r="E71" s="80"/>
      <c r="F71" s="39">
        <v>45995</v>
      </c>
      <c r="G71" s="97"/>
      <c r="H71" s="40" t="s">
        <v>84</v>
      </c>
      <c r="I71" s="104"/>
      <c r="J71" s="41">
        <v>35000</v>
      </c>
      <c r="K71" s="40" t="s">
        <v>118</v>
      </c>
    </row>
    <row r="72" spans="4:15" ht="30" customHeight="1" x14ac:dyDescent="0.3">
      <c r="D72" s="79"/>
      <c r="E72" s="80"/>
      <c r="F72" s="39">
        <v>45996</v>
      </c>
      <c r="G72" s="94"/>
      <c r="H72" s="40" t="s">
        <v>84</v>
      </c>
      <c r="I72" s="105"/>
      <c r="J72" s="41">
        <v>20000</v>
      </c>
      <c r="K72" s="40" t="s">
        <v>119</v>
      </c>
      <c r="M72" s="35"/>
    </row>
    <row r="73" spans="4:15" ht="30" customHeight="1" x14ac:dyDescent="0.3">
      <c r="D73" s="79"/>
      <c r="E73" s="80"/>
      <c r="F73" s="26">
        <v>45999</v>
      </c>
      <c r="G73" s="100">
        <v>150000</v>
      </c>
      <c r="H73" s="6" t="s">
        <v>120</v>
      </c>
      <c r="I73" s="47" t="s">
        <v>132</v>
      </c>
      <c r="J73" s="25">
        <v>34000</v>
      </c>
      <c r="K73" s="6" t="s">
        <v>121</v>
      </c>
    </row>
    <row r="74" spans="4:15" ht="30" customHeight="1" x14ac:dyDescent="0.3">
      <c r="D74" s="79"/>
      <c r="E74" s="80"/>
      <c r="F74" s="26">
        <v>46001</v>
      </c>
      <c r="G74" s="101"/>
      <c r="H74" s="6" t="s">
        <v>84</v>
      </c>
      <c r="I74" s="124" t="s">
        <v>39</v>
      </c>
      <c r="J74" s="25">
        <v>30000</v>
      </c>
      <c r="K74" s="6" t="s">
        <v>51</v>
      </c>
    </row>
    <row r="75" spans="4:15" ht="30" customHeight="1" x14ac:dyDescent="0.3">
      <c r="D75" s="79"/>
      <c r="E75" s="80"/>
      <c r="F75" s="26">
        <v>46003</v>
      </c>
      <c r="G75" s="102"/>
      <c r="H75" s="6" t="s">
        <v>122</v>
      </c>
      <c r="I75" s="126"/>
      <c r="J75" s="25">
        <v>73346</v>
      </c>
      <c r="K75" s="6" t="s">
        <v>123</v>
      </c>
      <c r="O75" s="35"/>
    </row>
    <row r="76" spans="4:15" ht="30" customHeight="1" x14ac:dyDescent="0.3">
      <c r="D76" s="79"/>
      <c r="E76" s="80"/>
      <c r="F76" s="28">
        <v>46007</v>
      </c>
      <c r="G76" s="44">
        <v>100000</v>
      </c>
      <c r="H76" s="7" t="s">
        <v>96</v>
      </c>
      <c r="I76" s="37" t="s">
        <v>39</v>
      </c>
      <c r="J76" s="21">
        <v>35000</v>
      </c>
      <c r="K76" s="7" t="s">
        <v>124</v>
      </c>
      <c r="M76" s="35"/>
    </row>
    <row r="77" spans="4:15" ht="30" customHeight="1" x14ac:dyDescent="0.3">
      <c r="D77" s="79"/>
      <c r="E77" s="80"/>
      <c r="F77" s="38">
        <v>46013</v>
      </c>
      <c r="G77" s="83">
        <v>175000</v>
      </c>
      <c r="H77" s="106" t="s">
        <v>125</v>
      </c>
      <c r="I77" s="110" t="s">
        <v>128</v>
      </c>
      <c r="J77" s="22">
        <v>126000</v>
      </c>
      <c r="K77" s="10" t="s">
        <v>126</v>
      </c>
    </row>
    <row r="78" spans="4:15" ht="30" customHeight="1" x14ac:dyDescent="0.3">
      <c r="D78" s="79"/>
      <c r="E78" s="80"/>
      <c r="F78" s="38">
        <v>46018</v>
      </c>
      <c r="G78" s="84"/>
      <c r="H78" s="107"/>
      <c r="I78" s="112"/>
      <c r="J78" s="22">
        <v>47000</v>
      </c>
      <c r="K78" s="10" t="s">
        <v>127</v>
      </c>
    </row>
    <row r="79" spans="4:15" ht="30" customHeight="1" x14ac:dyDescent="0.3">
      <c r="D79" s="81"/>
      <c r="E79" s="82"/>
      <c r="F79" s="38">
        <v>46022</v>
      </c>
      <c r="G79" s="29">
        <v>100000</v>
      </c>
      <c r="H79" s="10" t="s">
        <v>129</v>
      </c>
      <c r="I79" s="24" t="s">
        <v>128</v>
      </c>
      <c r="J79" s="22">
        <v>34000</v>
      </c>
      <c r="K79" s="10" t="s">
        <v>130</v>
      </c>
      <c r="M79" s="35"/>
    </row>
    <row r="80" spans="4:15" ht="30" customHeight="1" x14ac:dyDescent="0.3">
      <c r="D80" s="87" t="s">
        <v>137</v>
      </c>
      <c r="E80" s="88"/>
      <c r="F80" s="39">
        <v>46026</v>
      </c>
      <c r="G80" s="93">
        <v>100000</v>
      </c>
      <c r="H80" s="40" t="s">
        <v>186</v>
      </c>
      <c r="I80" s="42" t="s">
        <v>132</v>
      </c>
      <c r="J80" s="41">
        <v>45000</v>
      </c>
      <c r="K80" s="40" t="s">
        <v>133</v>
      </c>
    </row>
    <row r="81" spans="4:13" ht="30" customHeight="1" x14ac:dyDescent="0.3">
      <c r="D81" s="89"/>
      <c r="E81" s="90"/>
      <c r="F81" s="39">
        <v>46028</v>
      </c>
      <c r="G81" s="97"/>
      <c r="H81" s="40" t="s">
        <v>134</v>
      </c>
      <c r="I81" s="42" t="s">
        <v>39</v>
      </c>
      <c r="J81" s="41">
        <v>51000</v>
      </c>
      <c r="K81" s="40" t="s">
        <v>135</v>
      </c>
    </row>
    <row r="82" spans="4:13" ht="30" customHeight="1" x14ac:dyDescent="0.3">
      <c r="D82" s="89"/>
      <c r="E82" s="90"/>
      <c r="F82" s="39">
        <v>46031</v>
      </c>
      <c r="G82" s="94"/>
      <c r="H82" s="40" t="s">
        <v>84</v>
      </c>
      <c r="I82" s="42" t="s">
        <v>39</v>
      </c>
      <c r="J82" s="41">
        <v>10000</v>
      </c>
      <c r="K82" s="40" t="s">
        <v>136</v>
      </c>
    </row>
    <row r="83" spans="4:13" ht="87.6" customHeight="1" x14ac:dyDescent="0.3">
      <c r="D83" s="91"/>
      <c r="E83" s="92"/>
      <c r="F83" s="28">
        <v>46042</v>
      </c>
      <c r="G83" s="43">
        <v>200000</v>
      </c>
      <c r="H83" s="7" t="s">
        <v>186</v>
      </c>
      <c r="I83" s="37" t="s">
        <v>132</v>
      </c>
      <c r="J83" s="21">
        <v>253100</v>
      </c>
      <c r="K83" s="7" t="s">
        <v>138</v>
      </c>
    </row>
    <row r="84" spans="4:13" ht="30" customHeight="1" x14ac:dyDescent="0.3">
      <c r="D84" s="196" t="s">
        <v>139</v>
      </c>
      <c r="E84" s="197"/>
      <c r="F84" s="39">
        <v>45690</v>
      </c>
      <c r="G84" s="93">
        <v>100000</v>
      </c>
      <c r="H84" s="95" t="s">
        <v>84</v>
      </c>
      <c r="I84" s="103" t="s">
        <v>39</v>
      </c>
      <c r="J84" s="41">
        <v>24000</v>
      </c>
      <c r="K84" s="40" t="s">
        <v>141</v>
      </c>
    </row>
    <row r="85" spans="4:13" ht="30" customHeight="1" x14ac:dyDescent="0.3">
      <c r="D85" s="198"/>
      <c r="E85" s="199"/>
      <c r="F85" s="39">
        <v>45694</v>
      </c>
      <c r="G85" s="94"/>
      <c r="H85" s="96"/>
      <c r="I85" s="105"/>
      <c r="J85" s="41">
        <v>20000</v>
      </c>
      <c r="K85" s="40" t="s">
        <v>140</v>
      </c>
    </row>
    <row r="86" spans="4:13" ht="30" customHeight="1" x14ac:dyDescent="0.3">
      <c r="D86" s="198"/>
      <c r="E86" s="199"/>
      <c r="F86" s="26">
        <v>45697</v>
      </c>
      <c r="G86" s="100">
        <v>173000</v>
      </c>
      <c r="H86" s="108" t="s">
        <v>84</v>
      </c>
      <c r="I86" s="124" t="s">
        <v>39</v>
      </c>
      <c r="J86" s="25">
        <v>24000</v>
      </c>
      <c r="K86" s="6" t="s">
        <v>141</v>
      </c>
    </row>
    <row r="87" spans="4:13" ht="32.4" customHeight="1" x14ac:dyDescent="0.3">
      <c r="D87" s="198"/>
      <c r="E87" s="199"/>
      <c r="F87" s="26">
        <v>46066</v>
      </c>
      <c r="G87" s="102"/>
      <c r="H87" s="109"/>
      <c r="I87" s="126"/>
      <c r="J87" s="50">
        <v>20000</v>
      </c>
      <c r="K87" s="26" t="s">
        <v>140</v>
      </c>
    </row>
    <row r="88" spans="4:13" ht="30" customHeight="1" x14ac:dyDescent="0.3">
      <c r="D88" s="198"/>
      <c r="E88" s="199"/>
      <c r="F88" s="28">
        <v>46069</v>
      </c>
      <c r="G88" s="43">
        <v>100000</v>
      </c>
      <c r="H88" s="7" t="s">
        <v>84</v>
      </c>
      <c r="I88" s="37" t="s">
        <v>39</v>
      </c>
      <c r="J88" s="21">
        <v>24000</v>
      </c>
      <c r="K88" s="7" t="s">
        <v>142</v>
      </c>
    </row>
    <row r="89" spans="4:13" ht="30" customHeight="1" x14ac:dyDescent="0.3">
      <c r="D89" s="198"/>
      <c r="E89" s="199"/>
      <c r="F89" s="38">
        <v>46078</v>
      </c>
      <c r="G89" s="83">
        <v>80000</v>
      </c>
      <c r="H89" s="106" t="s">
        <v>84</v>
      </c>
      <c r="I89" s="110" t="s">
        <v>39</v>
      </c>
      <c r="J89" s="22">
        <v>20000</v>
      </c>
      <c r="K89" s="10" t="s">
        <v>143</v>
      </c>
    </row>
    <row r="90" spans="4:13" ht="30" customHeight="1" x14ac:dyDescent="0.3">
      <c r="D90" s="200"/>
      <c r="E90" s="201"/>
      <c r="F90" s="38">
        <v>46080</v>
      </c>
      <c r="G90" s="84"/>
      <c r="H90" s="107"/>
      <c r="I90" s="112"/>
      <c r="J90" s="22">
        <v>15000</v>
      </c>
      <c r="K90" s="10" t="s">
        <v>85</v>
      </c>
    </row>
    <row r="91" spans="4:13" ht="30" customHeight="1" x14ac:dyDescent="0.3">
      <c r="D91" s="190" t="s">
        <v>146</v>
      </c>
      <c r="E91" s="191"/>
      <c r="F91" s="39">
        <v>46083</v>
      </c>
      <c r="G91" s="93">
        <v>100000</v>
      </c>
      <c r="H91" s="56" t="s">
        <v>144</v>
      </c>
      <c r="I91" s="103" t="s">
        <v>39</v>
      </c>
      <c r="J91" s="41">
        <v>35000</v>
      </c>
      <c r="K91" s="40" t="s">
        <v>145</v>
      </c>
    </row>
    <row r="92" spans="4:13" ht="30" customHeight="1" x14ac:dyDescent="0.3">
      <c r="D92" s="192"/>
      <c r="E92" s="193"/>
      <c r="F92" s="39">
        <v>46085</v>
      </c>
      <c r="G92" s="97"/>
      <c r="H92" s="57" t="s">
        <v>147</v>
      </c>
      <c r="I92" s="104"/>
      <c r="J92" s="41">
        <v>35000</v>
      </c>
      <c r="K92" s="40" t="s">
        <v>148</v>
      </c>
    </row>
    <row r="93" spans="4:13" ht="30" customHeight="1" x14ac:dyDescent="0.3">
      <c r="D93" s="192"/>
      <c r="E93" s="193"/>
      <c r="F93" s="39">
        <v>46087</v>
      </c>
      <c r="G93" s="94"/>
      <c r="H93" s="40" t="s">
        <v>84</v>
      </c>
      <c r="I93" s="105"/>
      <c r="J93" s="41">
        <v>15000</v>
      </c>
      <c r="K93" s="40" t="s">
        <v>85</v>
      </c>
    </row>
    <row r="94" spans="4:13" ht="30" customHeight="1" x14ac:dyDescent="0.3">
      <c r="D94" s="192"/>
      <c r="E94" s="193"/>
      <c r="F94" s="26">
        <v>46268</v>
      </c>
      <c r="G94" s="100">
        <v>100000</v>
      </c>
      <c r="H94" s="6" t="s">
        <v>84</v>
      </c>
      <c r="I94" s="124" t="s">
        <v>39</v>
      </c>
      <c r="J94" s="25">
        <v>35000</v>
      </c>
      <c r="K94" s="6" t="s">
        <v>115</v>
      </c>
    </row>
    <row r="95" spans="4:13" ht="30" customHeight="1" x14ac:dyDescent="0.3">
      <c r="D95" s="192"/>
      <c r="E95" s="193"/>
      <c r="F95" s="26">
        <v>46091</v>
      </c>
      <c r="G95" s="101"/>
      <c r="H95" s="6" t="s">
        <v>149</v>
      </c>
      <c r="I95" s="125"/>
      <c r="J95" s="25">
        <v>32000</v>
      </c>
      <c r="K95" s="6" t="s">
        <v>150</v>
      </c>
      <c r="M95" s="69"/>
    </row>
    <row r="96" spans="4:13" ht="30" customHeight="1" x14ac:dyDescent="0.3">
      <c r="D96" s="192"/>
      <c r="E96" s="193"/>
      <c r="F96" s="26">
        <v>46092</v>
      </c>
      <c r="G96" s="102"/>
      <c r="H96" s="6" t="s">
        <v>84</v>
      </c>
      <c r="I96" s="126"/>
      <c r="J96" s="25">
        <v>15000</v>
      </c>
      <c r="K96" s="6" t="s">
        <v>151</v>
      </c>
    </row>
    <row r="97" spans="4:13" ht="30" customHeight="1" x14ac:dyDescent="0.3">
      <c r="D97" s="192"/>
      <c r="E97" s="193"/>
      <c r="F97" s="162">
        <v>45730</v>
      </c>
      <c r="G97" s="119">
        <v>350000</v>
      </c>
      <c r="H97" s="175" t="s">
        <v>186</v>
      </c>
      <c r="I97" s="37" t="s">
        <v>39</v>
      </c>
      <c r="J97" s="21">
        <v>62000</v>
      </c>
      <c r="K97" s="7" t="s">
        <v>152</v>
      </c>
      <c r="M97" s="35"/>
    </row>
    <row r="98" spans="4:13" ht="30" customHeight="1" x14ac:dyDescent="0.3">
      <c r="D98" s="192"/>
      <c r="E98" s="193"/>
      <c r="F98" s="164"/>
      <c r="G98" s="140"/>
      <c r="H98" s="176"/>
      <c r="I98" s="37" t="s">
        <v>132</v>
      </c>
      <c r="J98" s="21" t="s">
        <v>153</v>
      </c>
      <c r="K98" s="7" t="s">
        <v>166</v>
      </c>
    </row>
    <row r="99" spans="4:13" ht="30" customHeight="1" x14ac:dyDescent="0.3">
      <c r="D99" s="192"/>
      <c r="E99" s="193"/>
      <c r="F99" s="28">
        <v>46100</v>
      </c>
      <c r="G99" s="120"/>
      <c r="H99" s="177"/>
      <c r="I99" s="37" t="s">
        <v>39</v>
      </c>
      <c r="J99" s="21">
        <v>15000</v>
      </c>
      <c r="K99" s="7" t="s">
        <v>154</v>
      </c>
    </row>
    <row r="100" spans="4:13" ht="30" customHeight="1" x14ac:dyDescent="0.3">
      <c r="D100" s="192"/>
      <c r="E100" s="193"/>
      <c r="F100" s="38">
        <v>46106</v>
      </c>
      <c r="G100" s="29">
        <v>50000</v>
      </c>
      <c r="H100" s="10" t="s">
        <v>186</v>
      </c>
      <c r="I100" s="24" t="s">
        <v>161</v>
      </c>
      <c r="J100" s="22">
        <v>44750</v>
      </c>
      <c r="K100" s="10" t="s">
        <v>162</v>
      </c>
    </row>
    <row r="101" spans="4:13" ht="30" customHeight="1" x14ac:dyDescent="0.3">
      <c r="D101" s="192"/>
      <c r="E101" s="193"/>
      <c r="F101" s="38">
        <v>46110</v>
      </c>
      <c r="G101" s="22">
        <v>155000</v>
      </c>
      <c r="H101" s="10" t="s">
        <v>186</v>
      </c>
      <c r="I101" s="24" t="s">
        <v>39</v>
      </c>
      <c r="J101" s="22">
        <v>155000</v>
      </c>
      <c r="K101" s="10" t="s">
        <v>163</v>
      </c>
    </row>
    <row r="102" spans="4:13" ht="30" customHeight="1" x14ac:dyDescent="0.3">
      <c r="D102" s="192"/>
      <c r="E102" s="193"/>
      <c r="F102" s="38">
        <v>46111</v>
      </c>
      <c r="G102" s="83">
        <v>100000</v>
      </c>
      <c r="H102" s="10" t="s">
        <v>164</v>
      </c>
      <c r="I102" s="24" t="s">
        <v>39</v>
      </c>
      <c r="J102" s="22">
        <v>69000</v>
      </c>
      <c r="K102" s="10" t="s">
        <v>165</v>
      </c>
    </row>
    <row r="103" spans="4:13" ht="30" customHeight="1" x14ac:dyDescent="0.3">
      <c r="D103" s="194"/>
      <c r="E103" s="195"/>
      <c r="F103" s="38">
        <v>46113</v>
      </c>
      <c r="G103" s="84"/>
      <c r="H103" s="10" t="s">
        <v>167</v>
      </c>
      <c r="I103" s="24" t="s">
        <v>39</v>
      </c>
      <c r="J103" s="22">
        <v>37500</v>
      </c>
      <c r="K103" s="10" t="s">
        <v>168</v>
      </c>
    </row>
    <row r="104" spans="4:13" ht="30" customHeight="1" x14ac:dyDescent="0.3">
      <c r="D104" s="169" t="s">
        <v>169</v>
      </c>
      <c r="E104" s="170"/>
      <c r="F104" s="39">
        <v>46115</v>
      </c>
      <c r="G104" s="68">
        <v>65000</v>
      </c>
      <c r="H104" s="40" t="s">
        <v>186</v>
      </c>
      <c r="I104" s="42" t="s">
        <v>39</v>
      </c>
      <c r="J104" s="41">
        <v>65000</v>
      </c>
      <c r="K104" s="40" t="s">
        <v>170</v>
      </c>
    </row>
    <row r="105" spans="4:13" ht="30" customHeight="1" x14ac:dyDescent="0.3">
      <c r="D105" s="171"/>
      <c r="E105" s="172"/>
      <c r="F105" s="39">
        <v>46118</v>
      </c>
      <c r="G105" s="93">
        <v>100000</v>
      </c>
      <c r="H105" s="40" t="s">
        <v>181</v>
      </c>
      <c r="I105" s="42" t="s">
        <v>171</v>
      </c>
      <c r="J105" s="41">
        <v>50000</v>
      </c>
      <c r="K105" s="40" t="s">
        <v>172</v>
      </c>
    </row>
    <row r="106" spans="4:13" ht="30" customHeight="1" x14ac:dyDescent="0.3">
      <c r="D106" s="171"/>
      <c r="E106" s="172"/>
      <c r="F106" s="39">
        <v>46119</v>
      </c>
      <c r="G106" s="97"/>
      <c r="H106" s="40" t="s">
        <v>173</v>
      </c>
      <c r="I106" s="42" t="s">
        <v>39</v>
      </c>
      <c r="J106" s="41">
        <v>20000</v>
      </c>
      <c r="K106" s="40" t="s">
        <v>174</v>
      </c>
    </row>
    <row r="107" spans="4:13" ht="30" customHeight="1" x14ac:dyDescent="0.3">
      <c r="D107" s="171"/>
      <c r="E107" s="172"/>
      <c r="F107" s="39">
        <v>46120</v>
      </c>
      <c r="G107" s="94"/>
      <c r="H107" s="40" t="s">
        <v>175</v>
      </c>
      <c r="I107" s="42" t="s">
        <v>176</v>
      </c>
      <c r="J107" s="41">
        <v>52000</v>
      </c>
      <c r="K107" s="40" t="s">
        <v>177</v>
      </c>
    </row>
    <row r="108" spans="4:13" ht="30" customHeight="1" x14ac:dyDescent="0.3">
      <c r="D108" s="171"/>
      <c r="E108" s="172"/>
      <c r="F108" s="26">
        <v>46125</v>
      </c>
      <c r="G108" s="100">
        <v>100000</v>
      </c>
      <c r="H108" s="6" t="s">
        <v>180</v>
      </c>
      <c r="I108" s="124" t="s">
        <v>39</v>
      </c>
      <c r="J108" s="25">
        <v>70000</v>
      </c>
      <c r="K108" s="6" t="s">
        <v>178</v>
      </c>
    </row>
    <row r="109" spans="4:13" ht="30" customHeight="1" x14ac:dyDescent="0.3">
      <c r="D109" s="171"/>
      <c r="E109" s="172"/>
      <c r="F109" s="72">
        <v>46127</v>
      </c>
      <c r="G109" s="101"/>
      <c r="H109" s="6" t="s">
        <v>186</v>
      </c>
      <c r="I109" s="125"/>
      <c r="J109" s="25">
        <v>14000</v>
      </c>
      <c r="K109" s="6" t="s">
        <v>179</v>
      </c>
    </row>
    <row r="110" spans="4:13" ht="30" customHeight="1" x14ac:dyDescent="0.3">
      <c r="D110" s="171"/>
      <c r="E110" s="172"/>
      <c r="F110" s="26">
        <v>46129</v>
      </c>
      <c r="G110" s="102"/>
      <c r="H110" s="6" t="s">
        <v>84</v>
      </c>
      <c r="I110" s="126"/>
      <c r="J110" s="25">
        <v>15000</v>
      </c>
      <c r="K110" s="6" t="s">
        <v>85</v>
      </c>
    </row>
    <row r="111" spans="4:13" ht="30" customHeight="1" x14ac:dyDescent="0.3">
      <c r="D111" s="171"/>
      <c r="E111" s="172"/>
      <c r="F111" s="28">
        <v>46132</v>
      </c>
      <c r="G111" s="119">
        <v>100000</v>
      </c>
      <c r="H111" s="7" t="s">
        <v>182</v>
      </c>
      <c r="I111" s="37" t="s">
        <v>39</v>
      </c>
      <c r="J111" s="21">
        <v>21000</v>
      </c>
      <c r="K111" s="7" t="s">
        <v>183</v>
      </c>
    </row>
    <row r="112" spans="4:13" ht="30" customHeight="1" x14ac:dyDescent="0.3">
      <c r="D112" s="171"/>
      <c r="E112" s="172"/>
      <c r="F112" s="28">
        <v>46133</v>
      </c>
      <c r="G112" s="140"/>
      <c r="H112" s="7" t="s">
        <v>84</v>
      </c>
      <c r="I112" s="37" t="s">
        <v>39</v>
      </c>
      <c r="J112" s="21">
        <v>33000</v>
      </c>
      <c r="K112" s="7" t="s">
        <v>184</v>
      </c>
      <c r="M112" s="35"/>
    </row>
    <row r="113" spans="4:16" ht="30" customHeight="1" x14ac:dyDescent="0.3">
      <c r="D113" s="171"/>
      <c r="E113" s="172"/>
      <c r="F113" s="28">
        <v>46134</v>
      </c>
      <c r="G113" s="140"/>
      <c r="H113" s="7" t="s">
        <v>34</v>
      </c>
      <c r="I113" s="37" t="s">
        <v>132</v>
      </c>
      <c r="J113" s="21">
        <v>22000</v>
      </c>
      <c r="K113" s="7" t="s">
        <v>185</v>
      </c>
    </row>
    <row r="114" spans="4:16" ht="30" customHeight="1" x14ac:dyDescent="0.3">
      <c r="D114" s="171"/>
      <c r="E114" s="172"/>
      <c r="F114" s="28">
        <v>46136</v>
      </c>
      <c r="G114" s="140"/>
      <c r="H114" s="7" t="s">
        <v>84</v>
      </c>
      <c r="I114" s="37" t="s">
        <v>39</v>
      </c>
      <c r="J114" s="21">
        <v>15000</v>
      </c>
      <c r="K114" s="7" t="s">
        <v>85</v>
      </c>
    </row>
    <row r="115" spans="4:16" ht="30" customHeight="1" x14ac:dyDescent="0.3">
      <c r="D115" s="171"/>
      <c r="E115" s="172"/>
      <c r="F115" s="28">
        <v>46137</v>
      </c>
      <c r="G115" s="120"/>
      <c r="H115" s="7" t="s">
        <v>186</v>
      </c>
      <c r="I115" s="37" t="s">
        <v>39</v>
      </c>
      <c r="J115" s="21">
        <v>84000</v>
      </c>
      <c r="K115" s="7" t="s">
        <v>188</v>
      </c>
    </row>
    <row r="116" spans="4:16" ht="30" customHeight="1" x14ac:dyDescent="0.3">
      <c r="D116" s="171"/>
      <c r="E116" s="172"/>
      <c r="F116" s="85">
        <v>46139</v>
      </c>
      <c r="G116" s="83">
        <v>100000</v>
      </c>
      <c r="H116" s="10" t="s">
        <v>34</v>
      </c>
      <c r="I116" s="24" t="s">
        <v>39</v>
      </c>
      <c r="J116" s="22">
        <v>15000</v>
      </c>
      <c r="K116" s="10" t="s">
        <v>189</v>
      </c>
    </row>
    <row r="117" spans="4:16" ht="30" customHeight="1" x14ac:dyDescent="0.3">
      <c r="D117" s="171"/>
      <c r="E117" s="172"/>
      <c r="F117" s="86"/>
      <c r="G117" s="99"/>
      <c r="H117" s="10" t="s">
        <v>38</v>
      </c>
      <c r="I117" s="24" t="s">
        <v>39</v>
      </c>
      <c r="J117" s="22">
        <v>6000</v>
      </c>
      <c r="K117" s="10" t="s">
        <v>190</v>
      </c>
    </row>
    <row r="118" spans="4:16" ht="30" customHeight="1" x14ac:dyDescent="0.3">
      <c r="D118" s="171"/>
      <c r="E118" s="172"/>
      <c r="F118" s="98">
        <v>46140</v>
      </c>
      <c r="G118" s="99"/>
      <c r="H118" s="10" t="s">
        <v>84</v>
      </c>
      <c r="I118" s="24" t="s">
        <v>39</v>
      </c>
      <c r="J118" s="22">
        <v>30000</v>
      </c>
      <c r="K118" s="10" t="s">
        <v>51</v>
      </c>
      <c r="M118" s="35"/>
    </row>
    <row r="119" spans="4:16" ht="30" customHeight="1" x14ac:dyDescent="0.3">
      <c r="D119" s="171"/>
      <c r="E119" s="172"/>
      <c r="F119" s="98"/>
      <c r="G119" s="99"/>
      <c r="H119" s="10" t="s">
        <v>34</v>
      </c>
      <c r="I119" s="24" t="s">
        <v>39</v>
      </c>
      <c r="J119" s="22">
        <v>15000</v>
      </c>
      <c r="K119" s="10" t="s">
        <v>189</v>
      </c>
    </row>
    <row r="120" spans="4:16" ht="30" customHeight="1" x14ac:dyDescent="0.3">
      <c r="D120" s="171"/>
      <c r="E120" s="172"/>
      <c r="F120" s="38">
        <v>46141</v>
      </c>
      <c r="G120" s="99"/>
      <c r="H120" s="10" t="s">
        <v>38</v>
      </c>
      <c r="I120" s="24" t="s">
        <v>39</v>
      </c>
      <c r="J120" s="22">
        <v>5000</v>
      </c>
      <c r="K120" s="10" t="s">
        <v>191</v>
      </c>
    </row>
    <row r="121" spans="4:16" ht="30" customHeight="1" x14ac:dyDescent="0.3">
      <c r="D121" s="171"/>
      <c r="E121" s="172"/>
      <c r="F121" s="85">
        <v>46142</v>
      </c>
      <c r="G121" s="99"/>
      <c r="H121" s="10" t="s">
        <v>84</v>
      </c>
      <c r="I121" s="24" t="s">
        <v>39</v>
      </c>
      <c r="J121" s="22">
        <v>21000</v>
      </c>
      <c r="K121" s="10" t="s">
        <v>192</v>
      </c>
    </row>
    <row r="122" spans="4:16" ht="30" customHeight="1" x14ac:dyDescent="0.3">
      <c r="D122" s="173"/>
      <c r="E122" s="174"/>
      <c r="F122" s="86"/>
      <c r="G122" s="84"/>
      <c r="H122" s="10" t="s">
        <v>34</v>
      </c>
      <c r="I122" s="24" t="s">
        <v>39</v>
      </c>
      <c r="J122" s="22">
        <v>20000</v>
      </c>
      <c r="K122" s="10" t="s">
        <v>193</v>
      </c>
      <c r="P122" s="35"/>
    </row>
    <row r="123" spans="4:16" ht="30" customHeight="1" x14ac:dyDescent="0.3">
      <c r="D123" s="127" t="s">
        <v>196</v>
      </c>
      <c r="E123" s="128"/>
      <c r="F123" s="39">
        <v>46145</v>
      </c>
      <c r="G123" s="93">
        <v>100000</v>
      </c>
      <c r="H123" s="40" t="s">
        <v>186</v>
      </c>
      <c r="I123" s="42" t="s">
        <v>39</v>
      </c>
      <c r="J123" s="41">
        <v>6000</v>
      </c>
      <c r="K123" s="40" t="s">
        <v>197</v>
      </c>
    </row>
    <row r="124" spans="4:16" ht="30" customHeight="1" x14ac:dyDescent="0.3">
      <c r="D124" s="129"/>
      <c r="E124" s="130"/>
      <c r="F124" s="184">
        <v>46146</v>
      </c>
      <c r="G124" s="97"/>
      <c r="H124" s="40" t="s">
        <v>84</v>
      </c>
      <c r="I124" s="42" t="s">
        <v>39</v>
      </c>
      <c r="J124" s="41">
        <v>32000</v>
      </c>
      <c r="K124" s="40" t="s">
        <v>198</v>
      </c>
    </row>
    <row r="125" spans="4:16" ht="30" customHeight="1" x14ac:dyDescent="0.3">
      <c r="D125" s="129"/>
      <c r="E125" s="130"/>
      <c r="F125" s="185"/>
      <c r="G125" s="97"/>
      <c r="H125" s="40" t="s">
        <v>84</v>
      </c>
      <c r="I125" s="42" t="s">
        <v>39</v>
      </c>
      <c r="J125" s="41">
        <v>50000</v>
      </c>
      <c r="K125" s="40" t="s">
        <v>199</v>
      </c>
    </row>
    <row r="126" spans="4:16" ht="30" customHeight="1" x14ac:dyDescent="0.3">
      <c r="D126" s="129"/>
      <c r="E126" s="130"/>
      <c r="F126" s="184">
        <v>46147</v>
      </c>
      <c r="G126" s="97"/>
      <c r="H126" s="40" t="s">
        <v>186</v>
      </c>
      <c r="I126" s="42" t="s">
        <v>39</v>
      </c>
      <c r="J126" s="41">
        <v>5000</v>
      </c>
      <c r="K126" s="40" t="s">
        <v>201</v>
      </c>
    </row>
    <row r="127" spans="4:16" ht="30" customHeight="1" x14ac:dyDescent="0.3">
      <c r="D127" s="131"/>
      <c r="E127" s="132"/>
      <c r="F127" s="185"/>
      <c r="G127" s="94"/>
      <c r="H127" s="40" t="s">
        <v>38</v>
      </c>
      <c r="I127" s="42" t="s">
        <v>39</v>
      </c>
      <c r="J127" s="41">
        <v>13000</v>
      </c>
      <c r="K127" s="40" t="s">
        <v>200</v>
      </c>
    </row>
  </sheetData>
  <mergeCells count="89">
    <mergeCell ref="D123:E127"/>
    <mergeCell ref="F124:F125"/>
    <mergeCell ref="F126:F127"/>
    <mergeCell ref="G123:G127"/>
    <mergeCell ref="I28:I29"/>
    <mergeCell ref="H28:H29"/>
    <mergeCell ref="D91:E103"/>
    <mergeCell ref="F97:F98"/>
    <mergeCell ref="G111:G115"/>
    <mergeCell ref="D84:E90"/>
    <mergeCell ref="I86:I87"/>
    <mergeCell ref="G89:G90"/>
    <mergeCell ref="H89:H90"/>
    <mergeCell ref="I89:I90"/>
    <mergeCell ref="D28:E29"/>
    <mergeCell ref="D33:E44"/>
    <mergeCell ref="F33:F34"/>
    <mergeCell ref="D104:E122"/>
    <mergeCell ref="I91:I93"/>
    <mergeCell ref="G91:G93"/>
    <mergeCell ref="G97:G99"/>
    <mergeCell ref="H97:H99"/>
    <mergeCell ref="I84:I85"/>
    <mergeCell ref="I108:I110"/>
    <mergeCell ref="G94:G96"/>
    <mergeCell ref="G102:G103"/>
    <mergeCell ref="G105:G107"/>
    <mergeCell ref="G108:G110"/>
    <mergeCell ref="I94:I96"/>
    <mergeCell ref="D45:E59"/>
    <mergeCell ref="I77:I78"/>
    <mergeCell ref="I74:I75"/>
    <mergeCell ref="J20:J21"/>
    <mergeCell ref="K20:K21"/>
    <mergeCell ref="G8:G9"/>
    <mergeCell ref="G22:G23"/>
    <mergeCell ref="H20:H21"/>
    <mergeCell ref="F28:F29"/>
    <mergeCell ref="G28:G29"/>
    <mergeCell ref="G38:G40"/>
    <mergeCell ref="F1:K2"/>
    <mergeCell ref="D4:E17"/>
    <mergeCell ref="F18:F19"/>
    <mergeCell ref="G18:G19"/>
    <mergeCell ref="G6:G7"/>
    <mergeCell ref="G4:G5"/>
    <mergeCell ref="D18:E27"/>
    <mergeCell ref="G20:G21"/>
    <mergeCell ref="G24:G27"/>
    <mergeCell ref="G16:G17"/>
    <mergeCell ref="G10:G15"/>
    <mergeCell ref="F11:F13"/>
    <mergeCell ref="F4:F5"/>
    <mergeCell ref="D30:E32"/>
    <mergeCell ref="I53:I56"/>
    <mergeCell ref="G53:G56"/>
    <mergeCell ref="G60:G61"/>
    <mergeCell ref="G51:G52"/>
    <mergeCell ref="G45:G47"/>
    <mergeCell ref="I48:I50"/>
    <mergeCell ref="H48:H49"/>
    <mergeCell ref="G57:G59"/>
    <mergeCell ref="D60:E68"/>
    <mergeCell ref="G30:G31"/>
    <mergeCell ref="F31:F32"/>
    <mergeCell ref="G33:G37"/>
    <mergeCell ref="G48:G50"/>
    <mergeCell ref="F43:F44"/>
    <mergeCell ref="G41:G43"/>
    <mergeCell ref="I69:I72"/>
    <mergeCell ref="H77:H78"/>
    <mergeCell ref="G86:G87"/>
    <mergeCell ref="H86:H87"/>
    <mergeCell ref="G62:G64"/>
    <mergeCell ref="G66:G68"/>
    <mergeCell ref="H66:H68"/>
    <mergeCell ref="I66:I68"/>
    <mergeCell ref="G69:G72"/>
    <mergeCell ref="H84:H85"/>
    <mergeCell ref="G80:G82"/>
    <mergeCell ref="F118:F119"/>
    <mergeCell ref="G116:G122"/>
    <mergeCell ref="F121:F122"/>
    <mergeCell ref="D69:E79"/>
    <mergeCell ref="G77:G78"/>
    <mergeCell ref="F116:F117"/>
    <mergeCell ref="D80:E83"/>
    <mergeCell ref="G84:G85"/>
    <mergeCell ref="G73:G75"/>
  </mergeCells>
  <dataValidations count="2">
    <dataValidation type="list" allowBlank="1" showInputMessage="1" showErrorMessage="1" sqref="H1:H1048576" xr:uid="{029CFB00-B5DC-4AA1-9164-C87CA002C8E7}">
      <formula1>"transport, makan, jajan, akademik, dana darurat, lain-lain"</formula1>
    </dataValidation>
    <dataValidation type="list" allowBlank="1" showInputMessage="1" showErrorMessage="1" sqref="I1:I1048576" xr:uid="{A40AC0B9-4D1A-47B2-AA04-5F7D404DABDE}">
      <formula1>"cash, cashless,"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</dc:creator>
  <cp:lastModifiedBy>ARIF SYAHRUDIN</cp:lastModifiedBy>
  <dcterms:created xsi:type="dcterms:W3CDTF">2025-05-02T15:26:35Z</dcterms:created>
  <dcterms:modified xsi:type="dcterms:W3CDTF">2026-05-06T15:28:22Z</dcterms:modified>
</cp:coreProperties>
</file>